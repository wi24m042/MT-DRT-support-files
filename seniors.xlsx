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29fc23a191b0aa/Dokumente/Uni/HSLU/Master Thesis/"/>
    </mc:Choice>
  </mc:AlternateContent>
  <xr:revisionPtr revIDLastSave="189" documentId="8_{A4B37736-959C-4EE0-B378-1745CD1FA23E}" xr6:coauthVersionLast="47" xr6:coauthVersionMax="47" xr10:uidLastSave="{80A457E7-8C1C-4B90-8655-B4438D7CA022}"/>
  <bookViews>
    <workbookView xWindow="47010" yWindow="4605" windowWidth="28800" windowHeight="15345" xr2:uid="{1A08828C-681C-46E1-B4DB-495B0B943225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F3" i="1"/>
  <c r="F4" i="1"/>
  <c r="F5" i="1"/>
  <c r="G29" i="1" s="1"/>
  <c r="F2" i="1"/>
  <c r="E4" i="1"/>
  <c r="E3" i="1"/>
  <c r="E2" i="1"/>
  <c r="G18" i="1" l="1"/>
  <c r="G21" i="1"/>
  <c r="G20" i="1"/>
  <c r="G19" i="1"/>
  <c r="G22" i="1"/>
  <c r="G25" i="1"/>
  <c r="G24" i="1"/>
  <c r="G23" i="1"/>
  <c r="G27" i="1"/>
  <c r="G26" i="1"/>
  <c r="G28" i="1"/>
  <c r="G14" i="1"/>
  <c r="G17" i="1"/>
  <c r="G16" i="1"/>
  <c r="G15" i="1"/>
</calcChain>
</file>

<file path=xl/sharedStrings.xml><?xml version="1.0" encoding="utf-8"?>
<sst xmlns="http://schemas.openxmlformats.org/spreadsheetml/2006/main" count="41" uniqueCount="22">
  <si>
    <t>St. Moritz</t>
  </si>
  <si>
    <t>Silvaplana</t>
  </si>
  <si>
    <t>Sils im Engadin/Segl</t>
  </si>
  <si>
    <t>Bregaglia</t>
  </si>
  <si>
    <t>same municipality trip rate</t>
  </si>
  <si>
    <t>another municipality trip rate</t>
  </si>
  <si>
    <t>PT usage same municipality</t>
  </si>
  <si>
    <t>PT usage same municipality Bregaglia and St.Moritz</t>
  </si>
  <si>
    <t>PT usage different municipaility</t>
  </si>
  <si>
    <t>mobility rate 64 to 79</t>
  </si>
  <si>
    <t>mobility rate 80 and over</t>
  </si>
  <si>
    <t>From municipality</t>
  </si>
  <si>
    <t>To municipality</t>
  </si>
  <si>
    <t>St. Moritz Sink</t>
  </si>
  <si>
    <t>Same municipality by PT demand per direction</t>
  </si>
  <si>
    <t>Other municipality by PT demand per direction</t>
  </si>
  <si>
    <t>PT demand per direction</t>
  </si>
  <si>
    <t>Population over 65</t>
  </si>
  <si>
    <t>Population 65 to 79</t>
  </si>
  <si>
    <t>Population over 80</t>
  </si>
  <si>
    <t>Rate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</si>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</sst>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10" fontId="0" fillId="0" borderId="1" xfId="0" applyNumberFormat="1" applyBorder="1"/>
    <xf numFmtId="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B014-2CDD-4D94-A5E5-9736165CF244}">
  <dimension ref="A1:H29"/>
  <sheetViews>
    <sheetView tabSelected="1" workbookViewId="0">
      <selection activeCell="G7" sqref="G7"/>
    </sheetView>
  </sheetViews>
  <sheetFormatPr baseColWidth="10" defaultRowHeight="15" x14ac:dyDescent="0.25"/>
  <cols>
    <col min="1" max="1" width="29" bestFit="1" customWidth="1"/>
    <col min="3" max="4" width="10.7109375" bestFit="1" customWidth="1"/>
    <col min="5" max="6" width="22.5703125" bestFit="1" customWidth="1"/>
    <col min="7" max="7" width="14.140625" bestFit="1" customWidth="1"/>
    <col min="8" max="8" width="22.7109375" bestFit="1" customWidth="1"/>
  </cols>
  <sheetData>
    <row r="1" spans="1:8" ht="30.75" customHeight="1" x14ac:dyDescent="0.25">
      <c r="A1" s="2"/>
      <c r="B1" s="3" t="s">
        <v>17</v>
      </c>
      <c r="C1" s="3" t="s">
        <v>18</v>
      </c>
      <c r="D1" s="3" t="s">
        <v>19</v>
      </c>
      <c r="E1" s="3" t="s">
        <v>14</v>
      </c>
      <c r="F1" s="3" t="s">
        <v>15</v>
      </c>
    </row>
    <row r="2" spans="1:8" x14ac:dyDescent="0.25">
      <c r="A2" s="2" t="s">
        <v>3</v>
      </c>
      <c r="B2" s="4">
        <v>493</v>
      </c>
      <c r="C2" s="2">
        <v>356</v>
      </c>
      <c r="D2" s="2">
        <v>137</v>
      </c>
      <c r="E2" s="4">
        <f>(C2*$B$8+D2*$B$9)*$B$10*$B$13</f>
        <v>23.393069999999998</v>
      </c>
      <c r="F2" s="4">
        <f>(C2*$B$8+D2*$B$9)*$B$11*$B$14</f>
        <v>93.572280000000006</v>
      </c>
      <c r="G2" s="1"/>
      <c r="H2" s="1"/>
    </row>
    <row r="3" spans="1:8" x14ac:dyDescent="0.25">
      <c r="A3" s="2" t="s">
        <v>2</v>
      </c>
      <c r="B3" s="4">
        <v>141</v>
      </c>
      <c r="C3" s="2">
        <v>104</v>
      </c>
      <c r="D3" s="2">
        <v>37</v>
      </c>
      <c r="E3" s="4">
        <f>(C3*$B$8+D3*$B$9)*$B$10*$B$12</f>
        <v>0.89435920000000013</v>
      </c>
      <c r="F3" s="4">
        <f t="shared" ref="F3:F5" si="0">(C3*$B$8+D3*$B$9)*$B$11*$B$14</f>
        <v>26.830776000000004</v>
      </c>
      <c r="G3" s="1"/>
      <c r="H3" s="1"/>
    </row>
    <row r="4" spans="1:8" x14ac:dyDescent="0.25">
      <c r="A4" s="2" t="s">
        <v>1</v>
      </c>
      <c r="B4" s="4">
        <v>314</v>
      </c>
      <c r="C4" s="2">
        <v>226</v>
      </c>
      <c r="D4" s="2">
        <v>88</v>
      </c>
      <c r="E4" s="4">
        <f>(C4*$B$8+D4*$B$9)*$B$10*$B$12</f>
        <v>1.9858128000000002</v>
      </c>
      <c r="F4" s="4">
        <f t="shared" si="0"/>
        <v>59.574384000000002</v>
      </c>
      <c r="G4" s="1"/>
      <c r="H4" s="1"/>
    </row>
    <row r="5" spans="1:8" x14ac:dyDescent="0.25">
      <c r="A5" s="2" t="s">
        <v>0</v>
      </c>
      <c r="B5" s="4">
        <v>1174</v>
      </c>
      <c r="C5" s="2">
        <v>797</v>
      </c>
      <c r="D5" s="2">
        <v>377</v>
      </c>
      <c r="E5" s="4">
        <f>(C5*$B$8+D5*$B$9)*$B$10*$B$13</f>
        <v>55.307268000000008</v>
      </c>
      <c r="F5" s="4">
        <f t="shared" si="0"/>
        <v>221.229072</v>
      </c>
      <c r="G5" s="1"/>
      <c r="H5" s="1"/>
    </row>
    <row r="7" spans="1:8" x14ac:dyDescent="0.25">
      <c r="A7" s="2" t="s">
        <v>21</v>
      </c>
      <c r="B7" s="2" t="s">
        <v>20</v>
      </c>
    </row>
    <row r="8" spans="1:8" x14ac:dyDescent="0.25">
      <c r="A8" s="2" t="s">
        <v>9</v>
      </c>
      <c r="B8" s="5">
        <v>0.82730000000000004</v>
      </c>
    </row>
    <row r="9" spans="1:8" x14ac:dyDescent="0.25">
      <c r="A9" s="2" t="s">
        <v>10</v>
      </c>
      <c r="B9" s="5">
        <v>0.69610000000000005</v>
      </c>
    </row>
    <row r="10" spans="1:8" x14ac:dyDescent="0.25">
      <c r="A10" s="2" t="s">
        <v>4</v>
      </c>
      <c r="B10" s="6">
        <v>0.4</v>
      </c>
    </row>
    <row r="11" spans="1:8" x14ac:dyDescent="0.25">
      <c r="A11" s="2" t="s">
        <v>5</v>
      </c>
      <c r="B11" s="6">
        <v>0.6</v>
      </c>
    </row>
    <row r="12" spans="1:8" x14ac:dyDescent="0.25">
      <c r="A12" s="2" t="s">
        <v>6</v>
      </c>
      <c r="B12" s="6">
        <v>0.02</v>
      </c>
    </row>
    <row r="13" spans="1:8" ht="30" x14ac:dyDescent="0.25">
      <c r="A13" s="3" t="s">
        <v>7</v>
      </c>
      <c r="B13" s="6">
        <v>0.15</v>
      </c>
      <c r="E13" s="2" t="s">
        <v>11</v>
      </c>
      <c r="F13" s="2" t="s">
        <v>12</v>
      </c>
      <c r="G13" s="3" t="s">
        <v>16</v>
      </c>
    </row>
    <row r="14" spans="1:8" x14ac:dyDescent="0.25">
      <c r="A14" s="2" t="s">
        <v>8</v>
      </c>
      <c r="B14" s="6">
        <v>0.4</v>
      </c>
      <c r="E14" s="7" t="s">
        <v>3</v>
      </c>
      <c r="F14" s="2" t="s">
        <v>2</v>
      </c>
      <c r="G14" s="4">
        <f>$F$2/4</f>
        <v>23.393070000000002</v>
      </c>
    </row>
    <row r="15" spans="1:8" x14ac:dyDescent="0.25">
      <c r="E15" s="7"/>
      <c r="F15" s="2" t="s">
        <v>1</v>
      </c>
      <c r="G15" s="4">
        <f t="shared" ref="G15:G17" si="1">$F$2/4</f>
        <v>23.393070000000002</v>
      </c>
    </row>
    <row r="16" spans="1:8" x14ac:dyDescent="0.25">
      <c r="E16" s="7"/>
      <c r="F16" s="2" t="s">
        <v>0</v>
      </c>
      <c r="G16" s="4">
        <f t="shared" si="1"/>
        <v>23.393070000000002</v>
      </c>
    </row>
    <row r="17" spans="5:7" x14ac:dyDescent="0.25">
      <c r="E17" s="7"/>
      <c r="F17" s="2" t="s">
        <v>13</v>
      </c>
      <c r="G17" s="4">
        <f t="shared" si="1"/>
        <v>23.393070000000002</v>
      </c>
    </row>
    <row r="18" spans="5:7" x14ac:dyDescent="0.25">
      <c r="E18" s="8" t="s">
        <v>2</v>
      </c>
      <c r="F18" s="2" t="s">
        <v>3</v>
      </c>
      <c r="G18" s="4">
        <f>$F$3/4</f>
        <v>6.7076940000000009</v>
      </c>
    </row>
    <row r="19" spans="5:7" x14ac:dyDescent="0.25">
      <c r="E19" s="8"/>
      <c r="F19" s="2" t="s">
        <v>1</v>
      </c>
      <c r="G19" s="4">
        <f t="shared" ref="G19:G21" si="2">$F$3/4</f>
        <v>6.7076940000000009</v>
      </c>
    </row>
    <row r="20" spans="5:7" x14ac:dyDescent="0.25">
      <c r="E20" s="8"/>
      <c r="F20" s="2" t="s">
        <v>0</v>
      </c>
      <c r="G20" s="4">
        <f t="shared" si="2"/>
        <v>6.7076940000000009</v>
      </c>
    </row>
    <row r="21" spans="5:7" x14ac:dyDescent="0.25">
      <c r="E21" s="8"/>
      <c r="F21" s="2" t="s">
        <v>13</v>
      </c>
      <c r="G21" s="4">
        <f t="shared" si="2"/>
        <v>6.7076940000000009</v>
      </c>
    </row>
    <row r="22" spans="5:7" x14ac:dyDescent="0.25">
      <c r="E22" s="8" t="s">
        <v>1</v>
      </c>
      <c r="F22" s="2" t="s">
        <v>3</v>
      </c>
      <c r="G22" s="4">
        <f>$F$4/4</f>
        <v>14.893596000000001</v>
      </c>
    </row>
    <row r="23" spans="5:7" x14ac:dyDescent="0.25">
      <c r="E23" s="8"/>
      <c r="F23" s="2" t="s">
        <v>2</v>
      </c>
      <c r="G23" s="4">
        <f t="shared" ref="G23:G25" si="3">$F$4/4</f>
        <v>14.893596000000001</v>
      </c>
    </row>
    <row r="24" spans="5:7" x14ac:dyDescent="0.25">
      <c r="E24" s="8"/>
      <c r="F24" s="2" t="s">
        <v>0</v>
      </c>
      <c r="G24" s="4">
        <f t="shared" si="3"/>
        <v>14.893596000000001</v>
      </c>
    </row>
    <row r="25" spans="5:7" x14ac:dyDescent="0.25">
      <c r="E25" s="8"/>
      <c r="F25" s="2" t="s">
        <v>13</v>
      </c>
      <c r="G25" s="4">
        <f t="shared" si="3"/>
        <v>14.893596000000001</v>
      </c>
    </row>
    <row r="26" spans="5:7" x14ac:dyDescent="0.25">
      <c r="E26" s="8" t="s">
        <v>0</v>
      </c>
      <c r="F26" s="2" t="s">
        <v>3</v>
      </c>
      <c r="G26" s="4">
        <f>$F$5/4</f>
        <v>55.307268000000001</v>
      </c>
    </row>
    <row r="27" spans="5:7" x14ac:dyDescent="0.25">
      <c r="E27" s="8"/>
      <c r="F27" s="2" t="s">
        <v>2</v>
      </c>
      <c r="G27" s="4">
        <f t="shared" ref="G27:G28" si="4">$F$5/4</f>
        <v>55.307268000000001</v>
      </c>
    </row>
    <row r="28" spans="5:7" x14ac:dyDescent="0.25">
      <c r="E28" s="8"/>
      <c r="F28" s="2" t="s">
        <v>1</v>
      </c>
      <c r="G28" s="4">
        <f t="shared" si="4"/>
        <v>55.307268000000001</v>
      </c>
    </row>
    <row r="29" spans="5:7" x14ac:dyDescent="0.25">
      <c r="E29" s="8"/>
      <c r="F29" s="2" t="s">
        <v>13</v>
      </c>
      <c r="G29" s="4">
        <f>$F$5/4</f>
        <v>55.307268000000001</v>
      </c>
    </row>
  </sheetData>
  <mergeCells count="4">
    <mergeCell ref="E14:E17"/>
    <mergeCell ref="E18:E21"/>
    <mergeCell ref="E22:E25"/>
    <mergeCell ref="E26:E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Jeschek</dc:creator>
  <cp:lastModifiedBy>Florian Jeschek</cp:lastModifiedBy>
  <dcterms:created xsi:type="dcterms:W3CDTF">2026-05-12T18:56:03Z</dcterms:created>
  <dcterms:modified xsi:type="dcterms:W3CDTF">2026-06-10T17:26:37Z</dcterms:modified>
</cp:coreProperties>
</file>