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29fc23a191b0aa/Dokumente/Uni/HSLU/Master Thesis/"/>
    </mc:Choice>
  </mc:AlternateContent>
  <xr:revisionPtr revIDLastSave="262" documentId="8_{C7E1474C-CDCE-42D0-8957-A5BF3EB3CB10}" xr6:coauthVersionLast="47" xr6:coauthVersionMax="47" xr10:uidLastSave="{8083448B-472D-477D-A37F-464817EDA1AC}"/>
  <bookViews>
    <workbookView xWindow="38280" yWindow="-120" windowWidth="38640" windowHeight="21120" xr2:uid="{8D6B1EA2-8F94-4CD9-8BE2-10B54FCB5BB6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" i="1"/>
  <c r="M3" i="1"/>
  <c r="M4" i="1"/>
  <c r="M5" i="1"/>
  <c r="M6" i="1"/>
  <c r="M7" i="1"/>
  <c r="M8" i="1"/>
  <c r="M9" i="1"/>
  <c r="M10" i="1"/>
  <c r="M11" i="1"/>
  <c r="M12" i="1"/>
  <c r="L2" i="1"/>
  <c r="H17" i="1"/>
  <c r="H15" i="1"/>
  <c r="G17" i="1"/>
  <c r="J17" i="1" s="1"/>
  <c r="L17" i="1" s="1"/>
  <c r="G15" i="1"/>
  <c r="J15" i="1" s="1"/>
  <c r="L15" i="1" s="1"/>
  <c r="H16" i="1"/>
  <c r="G16" i="1"/>
  <c r="J16" i="1" s="1"/>
  <c r="L16" i="1" s="1"/>
  <c r="I25" i="1"/>
  <c r="J25" i="1" s="1"/>
  <c r="L25" i="1" s="1"/>
  <c r="I26" i="1"/>
  <c r="J26" i="1" s="1"/>
  <c r="L26" i="1" s="1"/>
  <c r="I23" i="1"/>
  <c r="J23" i="1" s="1"/>
  <c r="L23" i="1" s="1"/>
  <c r="I27" i="1"/>
  <c r="J27" i="1" s="1"/>
  <c r="L27" i="1" s="1"/>
  <c r="I21" i="1"/>
  <c r="J21" i="1" s="1"/>
  <c r="L21" i="1" s="1"/>
  <c r="I20" i="1"/>
  <c r="J20" i="1" s="1"/>
  <c r="L20" i="1" s="1"/>
  <c r="I22" i="1"/>
  <c r="J22" i="1" s="1"/>
  <c r="L22" i="1" s="1"/>
  <c r="I24" i="1"/>
  <c r="L14" i="1"/>
  <c r="J24" i="1"/>
  <c r="L24" i="1" s="1"/>
  <c r="J18" i="1"/>
  <c r="L18" i="1" s="1"/>
  <c r="E9" i="1"/>
  <c r="F5" i="1"/>
  <c r="J5" i="1" s="1"/>
  <c r="L5" i="1" s="1"/>
  <c r="F9" i="1"/>
  <c r="H19" i="1"/>
  <c r="G19" i="1"/>
  <c r="F8" i="1"/>
  <c r="F7" i="1"/>
  <c r="E7" i="1"/>
  <c r="F12" i="1"/>
  <c r="E8" i="1"/>
  <c r="E12" i="1"/>
  <c r="F10" i="1"/>
  <c r="F11" i="1"/>
  <c r="E10" i="1"/>
  <c r="E11" i="1"/>
  <c r="H14" i="1"/>
  <c r="H13" i="1"/>
  <c r="G14" i="1"/>
  <c r="G13" i="1"/>
  <c r="F6" i="1"/>
  <c r="J6" i="1" s="1"/>
  <c r="L6" i="1" s="1"/>
  <c r="F4" i="1"/>
  <c r="F3" i="1"/>
  <c r="F2" i="1"/>
  <c r="J2" i="1" s="1"/>
  <c r="E4" i="1"/>
  <c r="E3" i="1"/>
  <c r="J8" i="1" l="1"/>
  <c r="L8" i="1" s="1"/>
  <c r="J9" i="1"/>
  <c r="L9" i="1" s="1"/>
  <c r="J10" i="1"/>
  <c r="J12" i="1"/>
  <c r="L12" i="1" s="1"/>
  <c r="J19" i="1"/>
  <c r="L19" i="1" s="1"/>
  <c r="J14" i="1"/>
  <c r="J13" i="1"/>
  <c r="L13" i="1" s="1"/>
  <c r="J7" i="1"/>
  <c r="L7" i="1" s="1"/>
  <c r="J11" i="1"/>
  <c r="L11" i="1" s="1"/>
  <c r="J4" i="1"/>
  <c r="L4" i="1" s="1"/>
  <c r="J3" i="1"/>
  <c r="L3" i="1" s="1"/>
</calcChain>
</file>

<file path=xl/sharedStrings.xml><?xml version="1.0" encoding="utf-8"?>
<sst xmlns="http://schemas.openxmlformats.org/spreadsheetml/2006/main" count="99" uniqueCount="40">
  <si>
    <t>Bever</t>
  </si>
  <si>
    <t>Kindergarten and elementary school</t>
  </si>
  <si>
    <t>Bregaglia</t>
  </si>
  <si>
    <t>La Punt Chamues-ch</t>
  </si>
  <si>
    <t>Vicosoprano</t>
  </si>
  <si>
    <t>Maloja</t>
  </si>
  <si>
    <t>Municipality</t>
  </si>
  <si>
    <t>5-9</t>
  </si>
  <si>
    <t xml:space="preserve">Samedan </t>
  </si>
  <si>
    <t xml:space="preserve">Silvaplana </t>
  </si>
  <si>
    <t>Total</t>
  </si>
  <si>
    <t>From Municipailities</t>
  </si>
  <si>
    <t>St.Moritz</t>
  </si>
  <si>
    <t xml:space="preserve">Bregaglia </t>
  </si>
  <si>
    <t>Secondary school</t>
  </si>
  <si>
    <t>Samedan,Celerina/Schlarigna,Bever</t>
  </si>
  <si>
    <t>Higher non-mandatory education</t>
  </si>
  <si>
    <t>Kindergarten and elementary school 5th and 6th grade</t>
  </si>
  <si>
    <t>Elementary school 1st to 4th grade</t>
  </si>
  <si>
    <t>10-12</t>
  </si>
  <si>
    <t>13-14</t>
  </si>
  <si>
    <t>16-19</t>
  </si>
  <si>
    <t>School Type</t>
  </si>
  <si>
    <t>Sils im Engadin</t>
  </si>
  <si>
    <t>Silvaplana</t>
  </si>
  <si>
    <t>Pontresina</t>
  </si>
  <si>
    <t>Samedan</t>
  </si>
  <si>
    <t>Celerina/Schlarigna</t>
  </si>
  <si>
    <t>Talentschule</t>
  </si>
  <si>
    <t>Location note if multiple in one municipality</t>
  </si>
  <si>
    <t>Dorf</t>
  </si>
  <si>
    <t>Grevas</t>
  </si>
  <si>
    <t>The Talentschule in St. Moritz writes on their website that they have 31 studentes as 2026</t>
  </si>
  <si>
    <t>PT usage</t>
  </si>
  <si>
    <t>2%/50%</t>
  </si>
  <si>
    <t>St. Moritz</t>
  </si>
  <si>
    <t>https://www.scoulasportiva.ch/scoula-sportiva/</t>
  </si>
  <si>
    <t>Children and teens using PT to go to school</t>
  </si>
  <si>
    <t>Guardians using PT to brings kids to school</t>
  </si>
  <si>
    <t>Total number of PT users to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</si>
</sst>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49" fontId="0" fillId="0" borderId="1" xfId="0" applyNumberFormat="1" applyBorder="1"/>
    <xf numFmtId="1" fontId="0" fillId="0" borderId="1" xfId="0" applyNumberFormat="1" applyBorder="1" applyAlignment="1">
      <alignment wrapText="1"/>
    </xf>
    <xf numFmtId="1" fontId="0" fillId="0" borderId="1" xfId="0" applyNumberFormat="1" applyBorder="1"/>
    <xf numFmtId="9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ulasportiva.ch/scoula-sportiv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DCED-4FB2-4513-9E67-9F545927E4DC}">
  <dimension ref="A1:O31"/>
  <sheetViews>
    <sheetView tabSelected="1" workbookViewId="0">
      <selection activeCell="L14" sqref="L14"/>
    </sheetView>
  </sheetViews>
  <sheetFormatPr baseColWidth="10" defaultRowHeight="15" x14ac:dyDescent="0.25"/>
  <cols>
    <col min="1" max="1" width="19.140625" bestFit="1" customWidth="1"/>
    <col min="2" max="2" width="22.42578125" bestFit="1" customWidth="1"/>
    <col min="3" max="3" width="49.28515625" bestFit="1" customWidth="1"/>
    <col min="4" max="4" width="33.140625" bestFit="1" customWidth="1"/>
    <col min="12" max="12" width="22" style="2" bestFit="1" customWidth="1"/>
    <col min="13" max="13" width="20.140625" bestFit="1" customWidth="1"/>
    <col min="14" max="14" width="17.140625" bestFit="1" customWidth="1"/>
  </cols>
  <sheetData>
    <row r="1" spans="1:15" ht="30" customHeight="1" x14ac:dyDescent="0.25">
      <c r="A1" s="3" t="s">
        <v>6</v>
      </c>
      <c r="B1" s="4" t="s">
        <v>29</v>
      </c>
      <c r="C1" s="3" t="s">
        <v>22</v>
      </c>
      <c r="D1" s="3" t="s">
        <v>11</v>
      </c>
      <c r="E1" s="5" t="s">
        <v>7</v>
      </c>
      <c r="F1" s="5" t="s">
        <v>19</v>
      </c>
      <c r="G1" s="3" t="s">
        <v>20</v>
      </c>
      <c r="H1" s="10">
        <v>15</v>
      </c>
      <c r="I1" s="3" t="s">
        <v>21</v>
      </c>
      <c r="J1" s="3" t="s">
        <v>10</v>
      </c>
      <c r="K1" s="3" t="s">
        <v>33</v>
      </c>
      <c r="L1" s="6" t="s">
        <v>37</v>
      </c>
      <c r="M1" s="4" t="s">
        <v>38</v>
      </c>
      <c r="N1" s="4" t="s">
        <v>39</v>
      </c>
    </row>
    <row r="2" spans="1:15" x14ac:dyDescent="0.25">
      <c r="A2" s="3" t="s">
        <v>0</v>
      </c>
      <c r="B2" s="3"/>
      <c r="C2" s="3" t="s">
        <v>1</v>
      </c>
      <c r="D2" s="3" t="s">
        <v>0</v>
      </c>
      <c r="E2" s="7">
        <v>21</v>
      </c>
      <c r="F2" s="7">
        <f>20/5*3</f>
        <v>12</v>
      </c>
      <c r="G2" s="7"/>
      <c r="H2" s="7"/>
      <c r="I2" s="7"/>
      <c r="J2" s="7">
        <f>SUM(E2:I2)</f>
        <v>33</v>
      </c>
      <c r="K2" s="8">
        <v>0.02</v>
      </c>
      <c r="L2" s="6">
        <f>K2*J2</f>
        <v>0.66</v>
      </c>
      <c r="M2" s="7">
        <f>K2*E2</f>
        <v>0.42</v>
      </c>
      <c r="N2" s="7">
        <f>SUM(L2:M2)</f>
        <v>1.08</v>
      </c>
    </row>
    <row r="3" spans="1:15" x14ac:dyDescent="0.25">
      <c r="A3" s="3" t="s">
        <v>2</v>
      </c>
      <c r="B3" s="3" t="s">
        <v>4</v>
      </c>
      <c r="C3" s="3" t="s">
        <v>1</v>
      </c>
      <c r="D3" s="3" t="s">
        <v>2</v>
      </c>
      <c r="E3" s="7">
        <f>68/2</f>
        <v>34</v>
      </c>
      <c r="F3" s="7">
        <f>65/2/5*3</f>
        <v>19.5</v>
      </c>
      <c r="G3" s="7"/>
      <c r="H3" s="7"/>
      <c r="I3" s="7"/>
      <c r="J3" s="7">
        <f t="shared" ref="J3:J19" si="0">SUM(E3:I3)</f>
        <v>53.5</v>
      </c>
      <c r="K3" s="8">
        <v>0.1</v>
      </c>
      <c r="L3" s="6">
        <f t="shared" ref="L3:L19" si="1">K3*J3</f>
        <v>5.3500000000000005</v>
      </c>
      <c r="M3" s="7">
        <f t="shared" ref="M3:M12" si="2">K3*E3</f>
        <v>3.4000000000000004</v>
      </c>
      <c r="N3" s="7">
        <f t="shared" ref="N3:N27" si="3">SUM(L3:M3)</f>
        <v>8.75</v>
      </c>
    </row>
    <row r="4" spans="1:15" x14ac:dyDescent="0.25">
      <c r="A4" s="3" t="s">
        <v>2</v>
      </c>
      <c r="B4" s="3" t="s">
        <v>5</v>
      </c>
      <c r="C4" s="3" t="s">
        <v>1</v>
      </c>
      <c r="D4" s="3" t="s">
        <v>2</v>
      </c>
      <c r="E4" s="7">
        <f>68/2</f>
        <v>34</v>
      </c>
      <c r="F4" s="7">
        <f>65/2/5*3</f>
        <v>19.5</v>
      </c>
      <c r="G4" s="7"/>
      <c r="H4" s="7"/>
      <c r="I4" s="7"/>
      <c r="J4" s="7">
        <f t="shared" si="0"/>
        <v>53.5</v>
      </c>
      <c r="K4" s="8">
        <v>0.1</v>
      </c>
      <c r="L4" s="6">
        <f t="shared" si="1"/>
        <v>5.3500000000000005</v>
      </c>
      <c r="M4" s="7">
        <f t="shared" si="2"/>
        <v>3.4000000000000004</v>
      </c>
      <c r="N4" s="7">
        <f t="shared" si="3"/>
        <v>8.75</v>
      </c>
    </row>
    <row r="5" spans="1:15" x14ac:dyDescent="0.25">
      <c r="A5" s="3" t="s">
        <v>27</v>
      </c>
      <c r="B5" s="3"/>
      <c r="C5" s="3" t="s">
        <v>1</v>
      </c>
      <c r="D5" s="3" t="s">
        <v>27</v>
      </c>
      <c r="E5" s="7">
        <v>34</v>
      </c>
      <c r="F5" s="7">
        <f>49/5*3</f>
        <v>29.400000000000002</v>
      </c>
      <c r="G5" s="7"/>
      <c r="H5" s="7"/>
      <c r="I5" s="7"/>
      <c r="J5" s="7">
        <f t="shared" si="0"/>
        <v>63.400000000000006</v>
      </c>
      <c r="K5" s="8">
        <v>0.02</v>
      </c>
      <c r="L5" s="6">
        <f t="shared" si="1"/>
        <v>1.2680000000000002</v>
      </c>
      <c r="M5" s="7">
        <f t="shared" si="2"/>
        <v>0.68</v>
      </c>
      <c r="N5" s="7">
        <f t="shared" si="3"/>
        <v>1.9480000000000004</v>
      </c>
    </row>
    <row r="6" spans="1:15" x14ac:dyDescent="0.25">
      <c r="A6" s="3" t="s">
        <v>3</v>
      </c>
      <c r="B6" s="3"/>
      <c r="C6" s="3" t="s">
        <v>1</v>
      </c>
      <c r="D6" s="3" t="s">
        <v>3</v>
      </c>
      <c r="E6" s="7">
        <v>27</v>
      </c>
      <c r="F6" s="7">
        <f>16/5*3</f>
        <v>9.6000000000000014</v>
      </c>
      <c r="G6" s="7"/>
      <c r="H6" s="7"/>
      <c r="I6" s="7"/>
      <c r="J6" s="7">
        <f t="shared" si="0"/>
        <v>36.6</v>
      </c>
      <c r="K6" s="8">
        <v>0.02</v>
      </c>
      <c r="L6" s="6">
        <f t="shared" si="1"/>
        <v>0.7320000000000001</v>
      </c>
      <c r="M6" s="7">
        <f t="shared" si="2"/>
        <v>0.54</v>
      </c>
      <c r="N6" s="7">
        <f t="shared" si="3"/>
        <v>1.2720000000000002</v>
      </c>
    </row>
    <row r="7" spans="1:15" x14ac:dyDescent="0.25">
      <c r="A7" s="3" t="s">
        <v>12</v>
      </c>
      <c r="B7" s="3" t="s">
        <v>30</v>
      </c>
      <c r="C7" s="3" t="s">
        <v>17</v>
      </c>
      <c r="D7" s="3" t="s">
        <v>12</v>
      </c>
      <c r="E7" s="7">
        <f>152/5*2</f>
        <v>60.8</v>
      </c>
      <c r="F7" s="7">
        <f>180/5*2</f>
        <v>72</v>
      </c>
      <c r="G7" s="7"/>
      <c r="H7" s="7"/>
      <c r="I7" s="7"/>
      <c r="J7" s="7">
        <f t="shared" ref="J7" si="4">SUM(E7:I7)</f>
        <v>132.80000000000001</v>
      </c>
      <c r="K7" s="8">
        <v>0.1</v>
      </c>
      <c r="L7" s="6">
        <f t="shared" si="1"/>
        <v>13.280000000000001</v>
      </c>
      <c r="M7" s="7">
        <f t="shared" si="2"/>
        <v>6.08</v>
      </c>
      <c r="N7" s="7">
        <f t="shared" si="3"/>
        <v>19.36</v>
      </c>
    </row>
    <row r="8" spans="1:15" x14ac:dyDescent="0.25">
      <c r="A8" s="3" t="s">
        <v>12</v>
      </c>
      <c r="B8" s="3" t="s">
        <v>31</v>
      </c>
      <c r="C8" s="3" t="s">
        <v>18</v>
      </c>
      <c r="D8" s="3" t="s">
        <v>12</v>
      </c>
      <c r="E8" s="7">
        <f>152/5*3</f>
        <v>91.199999999999989</v>
      </c>
      <c r="F8" s="7">
        <f>180/5*1</f>
        <v>36</v>
      </c>
      <c r="G8" s="7"/>
      <c r="H8" s="7"/>
      <c r="I8" s="7"/>
      <c r="J8" s="7">
        <f t="shared" si="0"/>
        <v>127.19999999999999</v>
      </c>
      <c r="K8" s="8">
        <v>0.1</v>
      </c>
      <c r="L8" s="6">
        <f t="shared" si="1"/>
        <v>12.719999999999999</v>
      </c>
      <c r="M8" s="7">
        <f t="shared" si="2"/>
        <v>9.1199999999999992</v>
      </c>
      <c r="N8" s="7">
        <f t="shared" si="3"/>
        <v>21.839999999999996</v>
      </c>
    </row>
    <row r="9" spans="1:15" x14ac:dyDescent="0.25">
      <c r="A9" s="3" t="s">
        <v>8</v>
      </c>
      <c r="B9" s="3"/>
      <c r="C9" s="3" t="s">
        <v>1</v>
      </c>
      <c r="D9" s="3" t="s">
        <v>26</v>
      </c>
      <c r="E9" s="7">
        <f>110</f>
        <v>110</v>
      </c>
      <c r="F9" s="7">
        <f>128/5*3</f>
        <v>76.800000000000011</v>
      </c>
      <c r="G9" s="7"/>
      <c r="H9" s="7"/>
      <c r="I9" s="7"/>
      <c r="J9" s="7">
        <f>SUM(E9:I9)</f>
        <v>186.8</v>
      </c>
      <c r="K9" s="8">
        <v>0.02</v>
      </c>
      <c r="L9" s="6">
        <f t="shared" si="1"/>
        <v>3.7360000000000002</v>
      </c>
      <c r="M9" s="7">
        <f t="shared" si="2"/>
        <v>2.2000000000000002</v>
      </c>
      <c r="N9" s="7">
        <f t="shared" si="3"/>
        <v>5.9359999999999999</v>
      </c>
    </row>
    <row r="10" spans="1:15" x14ac:dyDescent="0.25">
      <c r="A10" s="3" t="s">
        <v>23</v>
      </c>
      <c r="B10" s="3"/>
      <c r="C10" s="3" t="s">
        <v>1</v>
      </c>
      <c r="D10" s="3" t="s">
        <v>23</v>
      </c>
      <c r="E10" s="7">
        <f>36</f>
        <v>36</v>
      </c>
      <c r="F10" s="7">
        <f>31/5*3</f>
        <v>18.600000000000001</v>
      </c>
      <c r="G10" s="7"/>
      <c r="H10" s="7"/>
      <c r="I10" s="7"/>
      <c r="J10" s="7">
        <f>SUM(E10:I10)</f>
        <v>54.6</v>
      </c>
      <c r="K10" s="8">
        <v>0.02</v>
      </c>
      <c r="L10" s="6">
        <v>1</v>
      </c>
      <c r="M10" s="7">
        <f t="shared" si="2"/>
        <v>0.72</v>
      </c>
      <c r="N10" s="7">
        <f t="shared" si="3"/>
        <v>1.72</v>
      </c>
    </row>
    <row r="11" spans="1:15" x14ac:dyDescent="0.25">
      <c r="A11" s="3" t="s">
        <v>9</v>
      </c>
      <c r="B11" s="3"/>
      <c r="C11" s="3" t="s">
        <v>1</v>
      </c>
      <c r="D11" s="3" t="s">
        <v>24</v>
      </c>
      <c r="E11" s="7">
        <f>47</f>
        <v>47</v>
      </c>
      <c r="F11" s="7">
        <f>32/5*3</f>
        <v>19.200000000000003</v>
      </c>
      <c r="G11" s="7"/>
      <c r="H11" s="7"/>
      <c r="I11" s="7"/>
      <c r="J11" s="7">
        <f t="shared" si="0"/>
        <v>66.2</v>
      </c>
      <c r="K11" s="8">
        <v>0.02</v>
      </c>
      <c r="L11" s="6">
        <f t="shared" si="1"/>
        <v>1.3240000000000001</v>
      </c>
      <c r="M11" s="7">
        <f t="shared" si="2"/>
        <v>0.94000000000000006</v>
      </c>
      <c r="N11" s="7">
        <f t="shared" si="3"/>
        <v>2.2640000000000002</v>
      </c>
    </row>
    <row r="12" spans="1:15" x14ac:dyDescent="0.25">
      <c r="A12" s="3" t="s">
        <v>25</v>
      </c>
      <c r="B12" s="3"/>
      <c r="C12" s="3" t="s">
        <v>1</v>
      </c>
      <c r="D12" s="3" t="s">
        <v>25</v>
      </c>
      <c r="E12" s="7">
        <f>88</f>
        <v>88</v>
      </c>
      <c r="F12" s="7">
        <f>90/5*3</f>
        <v>54</v>
      </c>
      <c r="G12" s="3"/>
      <c r="H12" s="3"/>
      <c r="I12" s="7"/>
      <c r="J12" s="7">
        <f t="shared" si="0"/>
        <v>142</v>
      </c>
      <c r="K12" s="8">
        <v>0.02</v>
      </c>
      <c r="L12" s="6">
        <f t="shared" si="1"/>
        <v>2.84</v>
      </c>
      <c r="M12" s="7">
        <f t="shared" si="2"/>
        <v>1.76</v>
      </c>
      <c r="N12" s="7">
        <f t="shared" si="3"/>
        <v>4.5999999999999996</v>
      </c>
    </row>
    <row r="13" spans="1:15" x14ac:dyDescent="0.25">
      <c r="A13" s="3" t="s">
        <v>13</v>
      </c>
      <c r="B13" s="3"/>
      <c r="C13" s="3" t="s">
        <v>14</v>
      </c>
      <c r="D13" s="3" t="s">
        <v>13</v>
      </c>
      <c r="E13" s="7"/>
      <c r="F13" s="7"/>
      <c r="G13" s="7">
        <f>65/5*2</f>
        <v>26</v>
      </c>
      <c r="H13" s="7">
        <f>64/5*1</f>
        <v>12.8</v>
      </c>
      <c r="I13" s="7"/>
      <c r="J13" s="7">
        <f t="shared" si="0"/>
        <v>38.799999999999997</v>
      </c>
      <c r="K13" s="8">
        <v>0.5</v>
      </c>
      <c r="L13" s="6">
        <f t="shared" si="1"/>
        <v>19.399999999999999</v>
      </c>
      <c r="M13" s="3"/>
      <c r="N13" s="7">
        <f t="shared" si="3"/>
        <v>19.399999999999999</v>
      </c>
    </row>
    <row r="14" spans="1:15" x14ac:dyDescent="0.25">
      <c r="A14" s="3" t="s">
        <v>8</v>
      </c>
      <c r="B14" s="3"/>
      <c r="C14" s="3" t="s">
        <v>14</v>
      </c>
      <c r="D14" s="3" t="s">
        <v>15</v>
      </c>
      <c r="E14" s="7"/>
      <c r="F14" s="7"/>
      <c r="G14" s="7">
        <f>128/5*2+49/5*2+20/5*2</f>
        <v>78.800000000000011</v>
      </c>
      <c r="H14" s="7">
        <f>134/5*1+69/5*1+31/5*1</f>
        <v>46.800000000000004</v>
      </c>
      <c r="I14" s="7"/>
      <c r="J14" s="7">
        <f t="shared" si="0"/>
        <v>125.60000000000002</v>
      </c>
      <c r="K14" s="8" t="s">
        <v>34</v>
      </c>
      <c r="L14" s="6">
        <f>(0.02*(128/5*2+134/5*1))+(0.5*(49/5*2+20/5*2+69/5*1+31/5*1))</f>
        <v>25.360000000000003</v>
      </c>
      <c r="M14" s="3"/>
      <c r="N14" s="7">
        <f t="shared" si="3"/>
        <v>25.360000000000003</v>
      </c>
    </row>
    <row r="15" spans="1:15" x14ac:dyDescent="0.25">
      <c r="A15" s="3" t="s">
        <v>12</v>
      </c>
      <c r="B15" s="3"/>
      <c r="C15" s="3" t="s">
        <v>14</v>
      </c>
      <c r="D15" s="3" t="s">
        <v>12</v>
      </c>
      <c r="E15" s="7"/>
      <c r="F15" s="7"/>
      <c r="G15" s="7">
        <f>180/5*2-31</f>
        <v>41</v>
      </c>
      <c r="H15" s="7">
        <f>207/5*1</f>
        <v>41.4</v>
      </c>
      <c r="I15" s="7"/>
      <c r="J15" s="7">
        <f>SUM(E15:I15)</f>
        <v>82.4</v>
      </c>
      <c r="K15" s="8">
        <v>0.1</v>
      </c>
      <c r="L15" s="6">
        <f>K15*J15</f>
        <v>8.24</v>
      </c>
      <c r="M15" s="7"/>
      <c r="N15" s="7">
        <f t="shared" si="3"/>
        <v>8.24</v>
      </c>
      <c r="O15" s="1"/>
    </row>
    <row r="16" spans="1:15" x14ac:dyDescent="0.25">
      <c r="A16" s="3" t="s">
        <v>12</v>
      </c>
      <c r="B16" s="3"/>
      <c r="C16" s="3" t="s">
        <v>14</v>
      </c>
      <c r="D16" s="3" t="s">
        <v>23</v>
      </c>
      <c r="E16" s="7"/>
      <c r="F16" s="7"/>
      <c r="G16" s="7">
        <f>31/5*2</f>
        <v>12.4</v>
      </c>
      <c r="H16" s="7">
        <f>30/5*1</f>
        <v>6</v>
      </c>
      <c r="I16" s="7"/>
      <c r="J16" s="7">
        <f t="shared" ref="J16:J17" si="5">SUM(E16:I16)</f>
        <v>18.399999999999999</v>
      </c>
      <c r="K16" s="8">
        <v>0.5</v>
      </c>
      <c r="L16" s="6">
        <f t="shared" ref="L16:L17" si="6">K16*J16</f>
        <v>9.1999999999999993</v>
      </c>
      <c r="M16" s="7"/>
      <c r="N16" s="7">
        <f t="shared" si="3"/>
        <v>9.1999999999999993</v>
      </c>
      <c r="O16" s="1"/>
    </row>
    <row r="17" spans="1:15" x14ac:dyDescent="0.25">
      <c r="A17" s="3" t="s">
        <v>12</v>
      </c>
      <c r="B17" s="3"/>
      <c r="C17" s="3" t="s">
        <v>14</v>
      </c>
      <c r="D17" s="3" t="s">
        <v>24</v>
      </c>
      <c r="E17" s="7"/>
      <c r="F17" s="7"/>
      <c r="G17" s="7">
        <f>32/5*2</f>
        <v>12.8</v>
      </c>
      <c r="H17" s="7">
        <f>34/5*1</f>
        <v>6.8</v>
      </c>
      <c r="I17" s="7"/>
      <c r="J17" s="7">
        <f t="shared" si="5"/>
        <v>19.600000000000001</v>
      </c>
      <c r="K17" s="8">
        <v>0.5</v>
      </c>
      <c r="L17" s="6">
        <f t="shared" si="6"/>
        <v>9.8000000000000007</v>
      </c>
      <c r="M17" s="7"/>
      <c r="N17" s="7">
        <f t="shared" si="3"/>
        <v>9.8000000000000007</v>
      </c>
      <c r="O17" s="1"/>
    </row>
    <row r="18" spans="1:15" x14ac:dyDescent="0.25">
      <c r="A18" s="3" t="s">
        <v>12</v>
      </c>
      <c r="B18" s="3" t="s">
        <v>28</v>
      </c>
      <c r="C18" s="3" t="s">
        <v>14</v>
      </c>
      <c r="D18" s="3" t="s">
        <v>12</v>
      </c>
      <c r="E18" s="7"/>
      <c r="F18" s="7"/>
      <c r="G18" s="9">
        <v>31</v>
      </c>
      <c r="H18" s="9"/>
      <c r="I18" s="7"/>
      <c r="J18" s="7">
        <f>SUM(E18:I18)</f>
        <v>31</v>
      </c>
      <c r="K18" s="8">
        <v>0.1</v>
      </c>
      <c r="L18" s="6">
        <f t="shared" si="1"/>
        <v>3.1</v>
      </c>
      <c r="M18" s="3"/>
      <c r="N18" s="7">
        <f t="shared" si="3"/>
        <v>3.1</v>
      </c>
    </row>
    <row r="19" spans="1:15" x14ac:dyDescent="0.25">
      <c r="A19" s="3" t="s">
        <v>25</v>
      </c>
      <c r="B19" s="3"/>
      <c r="C19" s="3" t="s">
        <v>14</v>
      </c>
      <c r="D19" s="3" t="s">
        <v>25</v>
      </c>
      <c r="E19" s="7"/>
      <c r="F19" s="7"/>
      <c r="G19" s="7">
        <f>90/5*2</f>
        <v>36</v>
      </c>
      <c r="H19" s="7">
        <f>86/5*1</f>
        <v>17.2</v>
      </c>
      <c r="I19" s="7"/>
      <c r="J19" s="7">
        <f t="shared" si="0"/>
        <v>53.2</v>
      </c>
      <c r="K19" s="8">
        <v>0.02</v>
      </c>
      <c r="L19" s="6">
        <f t="shared" si="1"/>
        <v>1.0640000000000001</v>
      </c>
      <c r="M19" s="3"/>
      <c r="N19" s="7">
        <f t="shared" si="3"/>
        <v>1.0640000000000001</v>
      </c>
    </row>
    <row r="20" spans="1:15" x14ac:dyDescent="0.25">
      <c r="A20" s="3" t="s">
        <v>8</v>
      </c>
      <c r="B20" s="3"/>
      <c r="C20" s="3" t="s">
        <v>16</v>
      </c>
      <c r="D20" s="3" t="s">
        <v>0</v>
      </c>
      <c r="E20" s="7"/>
      <c r="F20" s="7"/>
      <c r="G20" s="7"/>
      <c r="H20" s="7"/>
      <c r="I20" s="7">
        <f>(31/5*4)*0.7</f>
        <v>17.36</v>
      </c>
      <c r="J20" s="7">
        <f t="shared" ref="J20:J25" si="7">SUM(E20:I20)</f>
        <v>17.36</v>
      </c>
      <c r="K20" s="8">
        <v>0.5</v>
      </c>
      <c r="L20" s="6">
        <f t="shared" ref="L20:L25" si="8">K20*J20</f>
        <v>8.68</v>
      </c>
      <c r="M20" s="3"/>
      <c r="N20" s="7">
        <f t="shared" si="3"/>
        <v>8.68</v>
      </c>
    </row>
    <row r="21" spans="1:15" x14ac:dyDescent="0.25">
      <c r="A21" s="3" t="s">
        <v>8</v>
      </c>
      <c r="B21" s="3"/>
      <c r="C21" s="3" t="s">
        <v>16</v>
      </c>
      <c r="D21" s="3" t="s">
        <v>2</v>
      </c>
      <c r="E21" s="7"/>
      <c r="F21" s="7"/>
      <c r="G21" s="7"/>
      <c r="H21" s="7"/>
      <c r="I21" s="7">
        <f>(64/5*4)*0.7</f>
        <v>35.839999999999996</v>
      </c>
      <c r="J21" s="7">
        <f t="shared" si="7"/>
        <v>35.839999999999996</v>
      </c>
      <c r="K21" s="8">
        <v>0.5</v>
      </c>
      <c r="L21" s="6">
        <f t="shared" si="8"/>
        <v>17.919999999999998</v>
      </c>
      <c r="M21" s="3"/>
      <c r="N21" s="7">
        <f t="shared" si="3"/>
        <v>17.919999999999998</v>
      </c>
    </row>
    <row r="22" spans="1:15" x14ac:dyDescent="0.25">
      <c r="A22" s="3" t="s">
        <v>8</v>
      </c>
      <c r="B22" s="3"/>
      <c r="C22" s="3" t="s">
        <v>16</v>
      </c>
      <c r="D22" s="3" t="s">
        <v>27</v>
      </c>
      <c r="E22" s="7"/>
      <c r="F22" s="7"/>
      <c r="G22" s="7"/>
      <c r="H22" s="7"/>
      <c r="I22" s="7">
        <f>(69/5*4)*0.7</f>
        <v>38.64</v>
      </c>
      <c r="J22" s="7">
        <f t="shared" si="7"/>
        <v>38.64</v>
      </c>
      <c r="K22" s="8">
        <v>0.5</v>
      </c>
      <c r="L22" s="6">
        <f t="shared" si="8"/>
        <v>19.32</v>
      </c>
      <c r="M22" s="3"/>
      <c r="N22" s="7">
        <f t="shared" si="3"/>
        <v>19.32</v>
      </c>
    </row>
    <row r="23" spans="1:15" x14ac:dyDescent="0.25">
      <c r="A23" s="3" t="s">
        <v>8</v>
      </c>
      <c r="B23" s="3"/>
      <c r="C23" s="3" t="s">
        <v>16</v>
      </c>
      <c r="D23" s="3" t="s">
        <v>25</v>
      </c>
      <c r="E23" s="7"/>
      <c r="F23" s="7"/>
      <c r="G23" s="7"/>
      <c r="H23" s="7"/>
      <c r="I23" s="7">
        <f>(86/5*4)*0.7</f>
        <v>48.16</v>
      </c>
      <c r="J23" s="7">
        <f t="shared" si="7"/>
        <v>48.16</v>
      </c>
      <c r="K23" s="8">
        <v>0.5</v>
      </c>
      <c r="L23" s="6">
        <f t="shared" si="8"/>
        <v>24.08</v>
      </c>
      <c r="M23" s="3"/>
      <c r="N23" s="7">
        <f t="shared" si="3"/>
        <v>24.08</v>
      </c>
    </row>
    <row r="24" spans="1:15" x14ac:dyDescent="0.25">
      <c r="A24" s="3" t="s">
        <v>8</v>
      </c>
      <c r="B24" s="3"/>
      <c r="C24" s="3" t="s">
        <v>16</v>
      </c>
      <c r="D24" s="3" t="s">
        <v>26</v>
      </c>
      <c r="E24" s="7"/>
      <c r="F24" s="7"/>
      <c r="G24" s="7"/>
      <c r="H24" s="7"/>
      <c r="I24" s="7">
        <f>(134/5*4)*0.7</f>
        <v>75.039999999999992</v>
      </c>
      <c r="J24" s="7">
        <f t="shared" si="7"/>
        <v>75.039999999999992</v>
      </c>
      <c r="K24" s="8">
        <v>0.02</v>
      </c>
      <c r="L24" s="6">
        <f t="shared" si="8"/>
        <v>1.5007999999999999</v>
      </c>
      <c r="M24" s="3"/>
      <c r="N24" s="7">
        <f t="shared" si="3"/>
        <v>1.5007999999999999</v>
      </c>
    </row>
    <row r="25" spans="1:15" x14ac:dyDescent="0.25">
      <c r="A25" s="3" t="s">
        <v>8</v>
      </c>
      <c r="B25" s="3"/>
      <c r="C25" s="3" t="s">
        <v>16</v>
      </c>
      <c r="D25" s="3" t="s">
        <v>23</v>
      </c>
      <c r="E25" s="7"/>
      <c r="F25" s="7"/>
      <c r="G25" s="7"/>
      <c r="H25" s="7"/>
      <c r="I25" s="7">
        <f>(30/5*4)*0.7</f>
        <v>16.799999999999997</v>
      </c>
      <c r="J25" s="7">
        <f t="shared" si="7"/>
        <v>16.799999999999997</v>
      </c>
      <c r="K25" s="8">
        <v>0.5</v>
      </c>
      <c r="L25" s="6">
        <f t="shared" si="8"/>
        <v>8.3999999999999986</v>
      </c>
      <c r="M25" s="3"/>
      <c r="N25" s="7">
        <f t="shared" si="3"/>
        <v>8.3999999999999986</v>
      </c>
    </row>
    <row r="26" spans="1:15" x14ac:dyDescent="0.25">
      <c r="A26" s="3" t="s">
        <v>8</v>
      </c>
      <c r="B26" s="3"/>
      <c r="C26" s="3" t="s">
        <v>16</v>
      </c>
      <c r="D26" s="3" t="s">
        <v>24</v>
      </c>
      <c r="E26" s="7"/>
      <c r="F26" s="7"/>
      <c r="G26" s="7"/>
      <c r="H26" s="7"/>
      <c r="I26" s="7">
        <f>(34/5*4)*0.7</f>
        <v>19.04</v>
      </c>
      <c r="J26" s="7">
        <f t="shared" ref="J26" si="9">SUM(E26:I26)</f>
        <v>19.04</v>
      </c>
      <c r="K26" s="8">
        <v>0.5</v>
      </c>
      <c r="L26" s="6">
        <f t="shared" ref="L26" si="10">K26*J26</f>
        <v>9.52</v>
      </c>
      <c r="M26" s="3"/>
      <c r="N26" s="7">
        <f t="shared" si="3"/>
        <v>9.52</v>
      </c>
    </row>
    <row r="27" spans="1:15" x14ac:dyDescent="0.25">
      <c r="A27" s="3" t="s">
        <v>8</v>
      </c>
      <c r="B27" s="3"/>
      <c r="C27" s="3" t="s">
        <v>16</v>
      </c>
      <c r="D27" s="3" t="s">
        <v>35</v>
      </c>
      <c r="E27" s="7"/>
      <c r="F27" s="7"/>
      <c r="G27" s="7"/>
      <c r="H27" s="7"/>
      <c r="I27" s="7">
        <f>(207/5*4)*0.7</f>
        <v>115.91999999999999</v>
      </c>
      <c r="J27" s="7">
        <f>SUM(E27:I27)</f>
        <v>115.91999999999999</v>
      </c>
      <c r="K27" s="8">
        <v>0.5</v>
      </c>
      <c r="L27" s="6">
        <f>K27*J27</f>
        <v>57.959999999999994</v>
      </c>
      <c r="M27" s="3"/>
      <c r="N27" s="7">
        <f t="shared" si="3"/>
        <v>57.959999999999994</v>
      </c>
    </row>
    <row r="30" spans="1:15" x14ac:dyDescent="0.25">
      <c r="A30" t="s">
        <v>32</v>
      </c>
      <c r="E30" s="1"/>
      <c r="F30" s="1"/>
      <c r="G30" s="1"/>
      <c r="H30" s="1"/>
      <c r="I30" s="1"/>
      <c r="J30" s="1"/>
      <c r="K30" s="1"/>
    </row>
    <row r="31" spans="1:15" x14ac:dyDescent="0.25">
      <c r="A31" s="11" t="s">
        <v>36</v>
      </c>
    </row>
  </sheetData>
  <mergeCells count="1">
    <mergeCell ref="G18:H18"/>
  </mergeCells>
  <hyperlinks>
    <hyperlink ref="A31" r:id="rId1" xr:uid="{67FF0EB5-A732-4FCB-B64A-69E465832FAB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Jeschek</dc:creator>
  <cp:lastModifiedBy>Florian Jeschek</cp:lastModifiedBy>
  <dcterms:created xsi:type="dcterms:W3CDTF">2026-04-21T14:22:38Z</dcterms:created>
  <dcterms:modified xsi:type="dcterms:W3CDTF">2026-06-10T16:43:18Z</dcterms:modified>
</cp:coreProperties>
</file>