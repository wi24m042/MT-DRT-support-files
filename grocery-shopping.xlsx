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29fc23a191b0aa/Dokumente/Uni/HSLU/Master Thesis/"/>
    </mc:Choice>
  </mc:AlternateContent>
  <xr:revisionPtr revIDLastSave="11" documentId="8_{8C46D6DB-9E1C-45CD-ACFD-74E8F18EF5EA}" xr6:coauthVersionLast="47" xr6:coauthVersionMax="47" xr10:uidLastSave="{36CCFF46-96F7-4E72-B164-183AF2E11E0E}"/>
  <bookViews>
    <workbookView xWindow="46665" yWindow="4260" windowWidth="28800" windowHeight="15345" xr2:uid="{1C63103A-5FA8-4DF9-A638-2321F6A15A51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1" l="1"/>
  <c r="F2" i="1"/>
  <c r="C2" i="1"/>
  <c r="I2" i="1"/>
  <c r="J14" i="1"/>
  <c r="J15" i="1"/>
  <c r="J16" i="1"/>
  <c r="J17" i="1"/>
  <c r="J18" i="1"/>
  <c r="G11" i="1"/>
  <c r="H11" i="1"/>
  <c r="I11" i="1"/>
  <c r="I12" i="1"/>
  <c r="J12" i="1" s="1"/>
  <c r="G13" i="1"/>
  <c r="J13" i="1" s="1"/>
  <c r="H14" i="1"/>
  <c r="F15" i="1"/>
  <c r="F16" i="1"/>
  <c r="F17" i="1"/>
  <c r="F18" i="1"/>
  <c r="I3" i="1"/>
  <c r="J3" i="1" s="1"/>
  <c r="C3" i="1"/>
  <c r="C4" i="1"/>
  <c r="C5" i="1"/>
  <c r="J11" i="1" l="1"/>
  <c r="G4" i="1"/>
  <c r="J4" i="1" s="1"/>
  <c r="G2" i="1"/>
  <c r="H5" i="1"/>
  <c r="J5" i="1" s="1"/>
  <c r="H2" i="1"/>
  <c r="J2" i="1"/>
  <c r="F8" i="1"/>
  <c r="J8" i="1" s="1"/>
  <c r="F6" i="1"/>
  <c r="J6" i="1" s="1"/>
  <c r="F9" i="1"/>
  <c r="J9" i="1" s="1"/>
  <c r="F7" i="1"/>
  <c r="J7" i="1" s="1"/>
</calcChain>
</file>

<file path=xl/sharedStrings.xml><?xml version="1.0" encoding="utf-8"?>
<sst xmlns="http://schemas.openxmlformats.org/spreadsheetml/2006/main" count="36" uniqueCount="25">
  <si>
    <t>Bregaglia</t>
  </si>
  <si>
    <t>Sils im Engadin/Segl</t>
  </si>
  <si>
    <t>Silvaplana</t>
  </si>
  <si>
    <t>St. Moritz</t>
  </si>
  <si>
    <t>residents</t>
  </si>
  <si>
    <t>shopping rate per day</t>
  </si>
  <si>
    <t>residents going shopping per day</t>
  </si>
  <si>
    <t>shopping desitnations</t>
  </si>
  <si>
    <t>St. Moritz West</t>
  </si>
  <si>
    <t>St. Moritz Center</t>
  </si>
  <si>
    <t>Bregaglia Vicosoprano</t>
  </si>
  <si>
    <t>Bregaglia Maloja</t>
  </si>
  <si>
    <t>Bregaglia Castasegna</t>
  </si>
  <si>
    <t>Bregaglia Bondo</t>
  </si>
  <si>
    <t>customers from Bregaglia</t>
  </si>
  <si>
    <t>customers from Sils im Engadin/Segl</t>
  </si>
  <si>
    <t>customers from Silvaplana</t>
  </si>
  <si>
    <t>customers from St. Moritz</t>
  </si>
  <si>
    <t>total customers</t>
  </si>
  <si>
    <t>shopping by public transportation rate</t>
  </si>
  <si>
    <t>customers from Bregaglia by PT</t>
  </si>
  <si>
    <t>customers from Sils im Engadin/Segl by PT</t>
  </si>
  <si>
    <t>customers from Silvaplana by PT</t>
  </si>
  <si>
    <t>customers from St. Moritz  by PT</t>
  </si>
  <si>
    <t>total customers  by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</si>
</sst>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1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wrapText="1"/>
    </xf>
    <xf numFmtId="1" fontId="0" fillId="0" borderId="3" xfId="0" applyNumberFormat="1" applyBorder="1"/>
    <xf numFmtId="0" fontId="0" fillId="0" borderId="4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3988-EC87-419C-B2C5-2315DF3BD7CC}">
  <dimension ref="A1:J20"/>
  <sheetViews>
    <sheetView tabSelected="1" workbookViewId="0">
      <selection activeCell="G15" sqref="G15"/>
    </sheetView>
  </sheetViews>
  <sheetFormatPr baseColWidth="10" defaultRowHeight="15" x14ac:dyDescent="0.25"/>
  <cols>
    <col min="1" max="1" width="18.85546875" bestFit="1" customWidth="1"/>
    <col min="2" max="2" width="13.140625" bestFit="1" customWidth="1"/>
    <col min="3" max="3" width="16.28515625" bestFit="1" customWidth="1"/>
    <col min="5" max="5" width="20.85546875" bestFit="1" customWidth="1"/>
    <col min="6" max="6" width="14.85546875" bestFit="1" customWidth="1"/>
    <col min="7" max="7" width="20.28515625" bestFit="1" customWidth="1"/>
    <col min="8" max="8" width="15.28515625" bestFit="1" customWidth="1"/>
    <col min="9" max="9" width="14.85546875" bestFit="1" customWidth="1"/>
    <col min="10" max="10" width="14.7109375" bestFit="1" customWidth="1"/>
  </cols>
  <sheetData>
    <row r="1" spans="1:10" ht="30" customHeight="1" x14ac:dyDescent="0.25">
      <c r="A1" s="2"/>
      <c r="B1" s="2" t="s">
        <v>4</v>
      </c>
      <c r="C1" s="9" t="s">
        <v>6</v>
      </c>
      <c r="D1" s="5"/>
      <c r="E1" s="11" t="s">
        <v>7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spans="1:10" x14ac:dyDescent="0.25">
      <c r="A2" s="2" t="s">
        <v>0</v>
      </c>
      <c r="B2" s="2">
        <v>1604</v>
      </c>
      <c r="C2" s="10">
        <f>B2*$B$8</f>
        <v>458.26280000000003</v>
      </c>
      <c r="D2" s="5"/>
      <c r="E2" s="11" t="s">
        <v>8</v>
      </c>
      <c r="F2" s="4">
        <f>C2*0.25</f>
        <v>114.56570000000001</v>
      </c>
      <c r="G2" s="4">
        <f>C3*0.5</f>
        <v>110.13735</v>
      </c>
      <c r="H2" s="4">
        <f>C4*0.5</f>
        <v>174.99125000000001</v>
      </c>
      <c r="I2" s="4">
        <f>C5*0.7</f>
        <v>1340.1329899999998</v>
      </c>
      <c r="J2" s="4">
        <f>SUM(F2:I2)</f>
        <v>1739.8272899999997</v>
      </c>
    </row>
    <row r="3" spans="1:10" x14ac:dyDescent="0.25">
      <c r="A3" s="2" t="s">
        <v>1</v>
      </c>
      <c r="B3" s="2">
        <v>771</v>
      </c>
      <c r="C3" s="10">
        <f t="shared" ref="C3:C5" si="0">B3*$B$8</f>
        <v>220.2747</v>
      </c>
      <c r="D3" s="5"/>
      <c r="E3" s="11" t="s">
        <v>9</v>
      </c>
      <c r="F3" s="4"/>
      <c r="G3" s="4"/>
      <c r="H3" s="4"/>
      <c r="I3" s="4">
        <f>C5*0.3</f>
        <v>574.34271000000001</v>
      </c>
      <c r="J3" s="4">
        <f t="shared" ref="J3:J9" si="1">SUM(F3:I3)</f>
        <v>574.34271000000001</v>
      </c>
    </row>
    <row r="4" spans="1:10" x14ac:dyDescent="0.25">
      <c r="A4" s="2" t="s">
        <v>2</v>
      </c>
      <c r="B4" s="2">
        <v>1225</v>
      </c>
      <c r="C4" s="10">
        <f t="shared" si="0"/>
        <v>349.98250000000002</v>
      </c>
      <c r="D4" s="5"/>
      <c r="E4" s="11" t="s">
        <v>1</v>
      </c>
      <c r="F4" s="4"/>
      <c r="G4" s="4">
        <f>C3*0.5</f>
        <v>110.13735</v>
      </c>
      <c r="H4" s="4"/>
      <c r="I4" s="4"/>
      <c r="J4" s="4">
        <f t="shared" si="1"/>
        <v>110.13735</v>
      </c>
    </row>
    <row r="5" spans="1:10" x14ac:dyDescent="0.25">
      <c r="A5" s="2" t="s">
        <v>3</v>
      </c>
      <c r="B5" s="2">
        <v>6701</v>
      </c>
      <c r="C5" s="10">
        <f t="shared" si="0"/>
        <v>1914.4757</v>
      </c>
      <c r="D5" s="5"/>
      <c r="E5" s="11" t="s">
        <v>2</v>
      </c>
      <c r="F5" s="4"/>
      <c r="G5" s="4"/>
      <c r="H5" s="4">
        <f>C4*0.5</f>
        <v>174.99125000000001</v>
      </c>
      <c r="I5" s="4"/>
      <c r="J5" s="4">
        <f t="shared" si="1"/>
        <v>174.99125000000001</v>
      </c>
    </row>
    <row r="6" spans="1:10" x14ac:dyDescent="0.25">
      <c r="E6" s="2" t="s">
        <v>10</v>
      </c>
      <c r="F6" s="4">
        <f>C2*0.375</f>
        <v>171.84855000000002</v>
      </c>
      <c r="G6" s="4"/>
      <c r="H6" s="4"/>
      <c r="I6" s="4"/>
      <c r="J6" s="4">
        <f t="shared" si="1"/>
        <v>171.84855000000002</v>
      </c>
    </row>
    <row r="7" spans="1:10" x14ac:dyDescent="0.25">
      <c r="B7" s="6" t="s">
        <v>5</v>
      </c>
      <c r="C7" s="6"/>
      <c r="E7" s="2" t="s">
        <v>11</v>
      </c>
      <c r="F7" s="4">
        <f>C2*0.125</f>
        <v>57.282850000000003</v>
      </c>
      <c r="G7" s="4"/>
      <c r="H7" s="4"/>
      <c r="I7" s="4"/>
      <c r="J7" s="4">
        <f t="shared" si="1"/>
        <v>57.282850000000003</v>
      </c>
    </row>
    <row r="8" spans="1:10" x14ac:dyDescent="0.25">
      <c r="A8" s="5"/>
      <c r="B8" s="7">
        <v>0.28570000000000001</v>
      </c>
      <c r="C8" s="7"/>
      <c r="E8" s="2" t="s">
        <v>12</v>
      </c>
      <c r="F8" s="4">
        <f>C2*0.125</f>
        <v>57.282850000000003</v>
      </c>
      <c r="G8" s="4"/>
      <c r="H8" s="4"/>
      <c r="I8" s="4"/>
      <c r="J8" s="4">
        <f t="shared" si="1"/>
        <v>57.282850000000003</v>
      </c>
    </row>
    <row r="9" spans="1:10" x14ac:dyDescent="0.25">
      <c r="E9" s="2" t="s">
        <v>13</v>
      </c>
      <c r="F9" s="4">
        <f>C2*0.125</f>
        <v>57.282850000000003</v>
      </c>
      <c r="G9" s="4"/>
      <c r="H9" s="4"/>
      <c r="I9" s="4"/>
      <c r="J9" s="4">
        <f t="shared" si="1"/>
        <v>57.282850000000003</v>
      </c>
    </row>
    <row r="10" spans="1:10" ht="30" customHeight="1" x14ac:dyDescent="0.25">
      <c r="B10" s="8" t="s">
        <v>19</v>
      </c>
      <c r="C10" s="8"/>
      <c r="E10" s="2" t="s">
        <v>7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</row>
    <row r="11" spans="1:10" x14ac:dyDescent="0.25">
      <c r="B11" s="7">
        <v>0.05</v>
      </c>
      <c r="C11" s="7"/>
      <c r="E11" s="2" t="s">
        <v>8</v>
      </c>
      <c r="F11" s="4">
        <f>F2*$B$11</f>
        <v>5.7282850000000005</v>
      </c>
      <c r="G11" s="4">
        <f t="shared" ref="G11:I11" si="2">G2*$B$11</f>
        <v>5.5068675000000002</v>
      </c>
      <c r="H11" s="4">
        <f t="shared" si="2"/>
        <v>8.7495625000000015</v>
      </c>
      <c r="I11" s="4">
        <f t="shared" si="2"/>
        <v>67.006649499999995</v>
      </c>
      <c r="J11" s="4">
        <f>SUM(F11:I11)</f>
        <v>86.991364500000003</v>
      </c>
    </row>
    <row r="12" spans="1:10" x14ac:dyDescent="0.25">
      <c r="E12" s="2" t="s">
        <v>9</v>
      </c>
      <c r="F12" s="4"/>
      <c r="G12" s="4"/>
      <c r="H12" s="4"/>
      <c r="I12" s="4">
        <f t="shared" ref="F12:I18" si="3">I3*$B$11</f>
        <v>28.717135500000001</v>
      </c>
      <c r="J12" s="4">
        <f t="shared" ref="J12:J18" si="4">SUM(F12:I12)</f>
        <v>28.717135500000001</v>
      </c>
    </row>
    <row r="13" spans="1:10" x14ac:dyDescent="0.25">
      <c r="E13" s="2" t="s">
        <v>1</v>
      </c>
      <c r="F13" s="4"/>
      <c r="G13" s="4">
        <f t="shared" si="3"/>
        <v>5.5068675000000002</v>
      </c>
      <c r="H13" s="4"/>
      <c r="I13" s="4"/>
      <c r="J13" s="4">
        <f t="shared" si="4"/>
        <v>5.5068675000000002</v>
      </c>
    </row>
    <row r="14" spans="1:10" x14ac:dyDescent="0.25">
      <c r="E14" s="2" t="s">
        <v>2</v>
      </c>
      <c r="F14" s="4"/>
      <c r="G14" s="4"/>
      <c r="H14" s="4">
        <f t="shared" si="3"/>
        <v>8.7495625000000015</v>
      </c>
      <c r="I14" s="4"/>
      <c r="J14" s="4">
        <f t="shared" si="4"/>
        <v>8.7495625000000015</v>
      </c>
    </row>
    <row r="15" spans="1:10" x14ac:dyDescent="0.25">
      <c r="E15" s="2" t="s">
        <v>10</v>
      </c>
      <c r="F15" s="4">
        <f t="shared" si="3"/>
        <v>8.5924275000000012</v>
      </c>
      <c r="G15" s="4"/>
      <c r="H15" s="4"/>
      <c r="I15" s="4"/>
      <c r="J15" s="4">
        <f t="shared" si="4"/>
        <v>8.5924275000000012</v>
      </c>
    </row>
    <row r="16" spans="1:10" x14ac:dyDescent="0.25">
      <c r="E16" s="2" t="s">
        <v>11</v>
      </c>
      <c r="F16" s="4">
        <f t="shared" si="3"/>
        <v>2.8641425000000003</v>
      </c>
      <c r="G16" s="4"/>
      <c r="H16" s="4"/>
      <c r="I16" s="4"/>
      <c r="J16" s="4">
        <f t="shared" si="4"/>
        <v>2.8641425000000003</v>
      </c>
    </row>
    <row r="17" spans="5:10" x14ac:dyDescent="0.25">
      <c r="E17" s="2" t="s">
        <v>12</v>
      </c>
      <c r="F17" s="4">
        <f t="shared" si="3"/>
        <v>2.8641425000000003</v>
      </c>
      <c r="G17" s="4"/>
      <c r="H17" s="4"/>
      <c r="I17" s="4"/>
      <c r="J17" s="4">
        <f t="shared" si="4"/>
        <v>2.8641425000000003</v>
      </c>
    </row>
    <row r="18" spans="5:10" x14ac:dyDescent="0.25">
      <c r="E18" s="2" t="s">
        <v>13</v>
      </c>
      <c r="F18" s="4">
        <f t="shared" si="3"/>
        <v>2.8641425000000003</v>
      </c>
      <c r="G18" s="4"/>
      <c r="H18" s="4"/>
      <c r="I18" s="4"/>
      <c r="J18" s="4">
        <f t="shared" si="4"/>
        <v>2.8641425000000003</v>
      </c>
    </row>
    <row r="19" spans="5:10" x14ac:dyDescent="0.25">
      <c r="J19" s="1"/>
    </row>
    <row r="20" spans="5:10" x14ac:dyDescent="0.25">
      <c r="J20" s="1"/>
    </row>
  </sheetData>
  <mergeCells count="4">
    <mergeCell ref="B7:C7"/>
    <mergeCell ref="B8:C8"/>
    <mergeCell ref="B10:C10"/>
    <mergeCell ref="B11:C1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Jeschek</dc:creator>
  <cp:lastModifiedBy>Florian Jeschek</cp:lastModifiedBy>
  <dcterms:created xsi:type="dcterms:W3CDTF">2026-05-10T18:07:53Z</dcterms:created>
  <dcterms:modified xsi:type="dcterms:W3CDTF">2026-06-10T17:46:33Z</dcterms:modified>
</cp:coreProperties>
</file>