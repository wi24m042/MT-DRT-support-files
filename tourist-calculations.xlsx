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3813" documentId="8_{525B256F-E877-40D8-A7DE-2D739D04A2C5}" xr6:coauthVersionLast="47" xr6:coauthVersionMax="47" xr10:uidLastSave="{ECC640DD-8F38-45EA-A2E6-45D2E1D143C3}"/>
  <bookViews>
    <workbookView xWindow="38280" yWindow="-120" windowWidth="38640" windowHeight="21120" firstSheet="14" activeTab="19" xr2:uid="{FB5E5E60-5ADE-4526-8864-4F9FF3FD4F19}"/>
  </bookViews>
  <sheets>
    <sheet name="hotel alldata" sheetId="2" r:id="rId1"/>
    <sheet name="hotel studyarea" sheetId="6" r:id="rId2"/>
    <sheet name="hotel finalarea" sheetId="16" r:id="rId3"/>
    <sheet name="hotel overnightstay customcurve" sheetId="10" r:id="rId4"/>
    <sheet name="non-hotel alldata" sheetId="1" r:id="rId5"/>
    <sheet name="non-hotel studyarea" sheetId="17" r:id="rId6"/>
    <sheet name="non-hotel finalarea" sheetId="18" r:id="rId7"/>
    <sheet name="campgrounds" sheetId="14" r:id="rId8"/>
    <sheet name="campgrounds shortterm alldata" sheetId="3" r:id="rId9"/>
    <sheet name="campgrounds shortterm studyarea" sheetId="12" r:id="rId10"/>
    <sheet name="campgrounds shortterm finalarea" sheetId="21" r:id="rId11"/>
    <sheet name="campgrounds longterm alldata" sheetId="13" r:id="rId12"/>
    <sheet name="campgrounds longterm studyarea" sheetId="19" r:id="rId13"/>
    <sheet name="campgrounds longterm finalarea" sheetId="20" r:id="rId14"/>
    <sheet name="daytrip tourists alldata" sheetId="22" r:id="rId15"/>
    <sheet name="daytrip tourists studyarea" sheetId="24" r:id="rId16"/>
    <sheet name="daytrip tourists finalarea" sheetId="25" r:id="rId17"/>
    <sheet name="total tourists alldata" sheetId="26" r:id="rId18"/>
    <sheet name="total tourists studyarea" sheetId="27" r:id="rId19"/>
    <sheet name="total tourists finalarea" sheetId="28" r:id="rId20"/>
    <sheet name="tourists private acco PT" sheetId="2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8" l="1"/>
  <c r="B34" i="18"/>
  <c r="B35" i="18"/>
  <c r="B36" i="18"/>
  <c r="B29" i="28"/>
  <c r="B38" i="16"/>
  <c r="B39" i="16"/>
  <c r="B40" i="16"/>
  <c r="D33" i="29"/>
  <c r="B27" i="28"/>
  <c r="B28" i="28"/>
  <c r="D32" i="29"/>
  <c r="D34" i="29"/>
  <c r="J29" i="29"/>
  <c r="B15" i="25"/>
  <c r="B16" i="25"/>
  <c r="B14" i="25"/>
  <c r="B18" i="20"/>
  <c r="B43" i="21"/>
  <c r="F12" i="20"/>
  <c r="E36" i="21"/>
  <c r="G27" i="16"/>
  <c r="G29" i="18"/>
  <c r="I21" i="18"/>
  <c r="E18" i="29"/>
  <c r="C9" i="25"/>
  <c r="E27" i="29"/>
  <c r="D9" i="25"/>
  <c r="D29" i="14"/>
  <c r="C29" i="14"/>
  <c r="E29" i="14"/>
  <c r="C24" i="14"/>
  <c r="D24" i="14"/>
  <c r="E24" i="14"/>
  <c r="C22" i="14"/>
  <c r="D22" i="14"/>
  <c r="E22" i="14"/>
  <c r="C20" i="14"/>
  <c r="D20" i="14"/>
  <c r="E20" i="14"/>
  <c r="C17" i="14"/>
  <c r="D17" i="14"/>
  <c r="E17" i="14"/>
  <c r="C15" i="14"/>
  <c r="D15" i="14"/>
  <c r="E15" i="14"/>
  <c r="C13" i="14"/>
  <c r="D13" i="14"/>
  <c r="E13" i="14"/>
  <c r="E23" i="16"/>
  <c r="E26" i="16"/>
  <c r="E29" i="16"/>
  <c r="E32" i="16"/>
  <c r="I29" i="29" l="1"/>
  <c r="H28" i="29"/>
  <c r="H25" i="29"/>
  <c r="H22" i="29"/>
  <c r="H19" i="29"/>
  <c r="G28" i="29"/>
  <c r="G25" i="29"/>
  <c r="G22" i="29"/>
  <c r="G19" i="29"/>
  <c r="F18" i="29"/>
  <c r="F21" i="29"/>
  <c r="F24" i="29"/>
  <c r="F27" i="29"/>
  <c r="E24" i="29"/>
  <c r="E21" i="29"/>
  <c r="J20" i="29"/>
  <c r="E12" i="20"/>
  <c r="I28" i="16"/>
  <c r="I25" i="16"/>
  <c r="F23" i="16"/>
  <c r="F26" i="16"/>
  <c r="F29" i="16"/>
  <c r="F32" i="16"/>
  <c r="D29" i="29"/>
  <c r="J23" i="29"/>
  <c r="I23" i="29"/>
  <c r="J26" i="29"/>
  <c r="I20" i="29"/>
  <c r="I26" i="29"/>
  <c r="J25" i="16"/>
  <c r="J28" i="16"/>
  <c r="J31" i="16"/>
  <c r="I31" i="16"/>
  <c r="J34" i="16"/>
  <c r="I34" i="16"/>
  <c r="E4" i="24"/>
  <c r="E3" i="24"/>
  <c r="E2" i="24"/>
  <c r="E4" i="22"/>
  <c r="E3" i="22"/>
  <c r="E2" i="22"/>
  <c r="E4" i="25"/>
  <c r="E3" i="25"/>
  <c r="E2" i="25"/>
  <c r="D3" i="25"/>
  <c r="E15" i="28"/>
  <c r="E16" i="28"/>
  <c r="E14" i="28"/>
  <c r="F14" i="28"/>
  <c r="F2" i="12"/>
  <c r="E2" i="12"/>
  <c r="F4" i="21"/>
  <c r="F3" i="21"/>
  <c r="F2" i="21"/>
  <c r="E2" i="21"/>
  <c r="E3" i="28"/>
  <c r="I4" i="21"/>
  <c r="B2" i="25"/>
  <c r="F14" i="20"/>
  <c r="F13" i="20"/>
  <c r="F11" i="20"/>
  <c r="E11" i="20"/>
  <c r="D11" i="20"/>
  <c r="D18" i="29"/>
  <c r="G33" i="16"/>
  <c r="G30" i="16"/>
  <c r="G24" i="16"/>
  <c r="D19" i="29"/>
  <c r="D20" i="29"/>
  <c r="D21" i="29"/>
  <c r="D22" i="29"/>
  <c r="D23" i="29"/>
  <c r="D24" i="29"/>
  <c r="D25" i="29"/>
  <c r="D26" i="29"/>
  <c r="D27" i="29"/>
  <c r="D28" i="29"/>
  <c r="C18" i="29"/>
  <c r="C28" i="29"/>
  <c r="C25" i="29"/>
  <c r="C20" i="29"/>
  <c r="C19" i="29"/>
  <c r="C21" i="29"/>
  <c r="C22" i="29"/>
  <c r="C23" i="29"/>
  <c r="C24" i="29"/>
  <c r="C26" i="29"/>
  <c r="C27" i="29"/>
  <c r="C29" i="29"/>
  <c r="G13" i="29"/>
  <c r="H13" i="29" s="1"/>
  <c r="E13" i="29"/>
  <c r="F13" i="29" s="1"/>
  <c r="G12" i="29"/>
  <c r="H12" i="29" s="1"/>
  <c r="E12" i="29"/>
  <c r="F12" i="29" s="1"/>
  <c r="H11" i="29"/>
  <c r="G11" i="29"/>
  <c r="E11" i="29"/>
  <c r="F11" i="29" s="1"/>
  <c r="G10" i="29"/>
  <c r="H10" i="29" s="1"/>
  <c r="E10" i="29"/>
  <c r="F10" i="29" s="1"/>
  <c r="G9" i="29"/>
  <c r="H9" i="29" s="1"/>
  <c r="E9" i="29"/>
  <c r="F9" i="29" s="1"/>
  <c r="G8" i="29"/>
  <c r="H8" i="29" s="1"/>
  <c r="E8" i="29"/>
  <c r="F8" i="29" s="1"/>
  <c r="G7" i="29"/>
  <c r="H7" i="29" s="1"/>
  <c r="E7" i="29"/>
  <c r="F7" i="29" s="1"/>
  <c r="G6" i="29"/>
  <c r="H6" i="29" s="1"/>
  <c r="E6" i="29"/>
  <c r="F6" i="29" s="1"/>
  <c r="G5" i="29"/>
  <c r="H5" i="29" s="1"/>
  <c r="E5" i="29"/>
  <c r="F5" i="29" s="1"/>
  <c r="G4" i="29"/>
  <c r="H4" i="29" s="1"/>
  <c r="E4" i="29"/>
  <c r="F4" i="29" s="1"/>
  <c r="G3" i="29"/>
  <c r="H3" i="29" s="1"/>
  <c r="F3" i="29"/>
  <c r="E3" i="29"/>
  <c r="G2" i="29"/>
  <c r="H2" i="29" s="1"/>
  <c r="E2" i="29"/>
  <c r="F2" i="29" s="1"/>
  <c r="C30" i="18"/>
  <c r="C21" i="18"/>
  <c r="F2" i="18"/>
  <c r="C20" i="18" s="1"/>
  <c r="H24" i="16"/>
  <c r="H27" i="16"/>
  <c r="H30" i="16"/>
  <c r="H33" i="16"/>
  <c r="C24" i="16"/>
  <c r="C25" i="16"/>
  <c r="C26" i="16"/>
  <c r="C27" i="16"/>
  <c r="C28" i="16"/>
  <c r="C29" i="16"/>
  <c r="C30" i="16"/>
  <c r="C31" i="16"/>
  <c r="C32" i="16"/>
  <c r="C33" i="16"/>
  <c r="C34" i="16"/>
  <c r="C23" i="16"/>
  <c r="H8" i="16"/>
  <c r="H9" i="16"/>
  <c r="H10" i="16"/>
  <c r="H11" i="16"/>
  <c r="H12" i="16"/>
  <c r="H13" i="16"/>
  <c r="H14" i="16"/>
  <c r="H15" i="16"/>
  <c r="H16" i="16"/>
  <c r="H17" i="16"/>
  <c r="H18" i="16"/>
  <c r="H7" i="16"/>
  <c r="H12" i="20"/>
  <c r="H13" i="20"/>
  <c r="H14" i="20"/>
  <c r="H11" i="20"/>
  <c r="E13" i="20"/>
  <c r="E14" i="20"/>
  <c r="G11" i="20"/>
  <c r="G12" i="20"/>
  <c r="G13" i="20"/>
  <c r="D12" i="20"/>
  <c r="D13" i="20"/>
  <c r="D14" i="20"/>
  <c r="I3" i="3"/>
  <c r="J3" i="12"/>
  <c r="J2" i="12"/>
  <c r="J4" i="12"/>
  <c r="J3" i="3"/>
  <c r="J2" i="3"/>
  <c r="J4" i="3"/>
  <c r="G2" i="2"/>
  <c r="G3" i="2"/>
  <c r="G4" i="2"/>
  <c r="C3" i="21"/>
  <c r="G7" i="16"/>
  <c r="F18" i="16"/>
  <c r="G18" i="16"/>
  <c r="G2" i="16"/>
  <c r="G17" i="16"/>
  <c r="G15" i="16"/>
  <c r="G14" i="16"/>
  <c r="G12" i="16"/>
  <c r="G11" i="16"/>
  <c r="G9" i="16"/>
  <c r="G8" i="16"/>
  <c r="G10" i="16"/>
  <c r="G13" i="16"/>
  <c r="G16" i="16"/>
  <c r="F17" i="16"/>
  <c r="F15" i="16"/>
  <c r="F14" i="16"/>
  <c r="F12" i="16"/>
  <c r="F11" i="16"/>
  <c r="F9" i="16"/>
  <c r="F8" i="16"/>
  <c r="F10" i="16"/>
  <c r="F13" i="16"/>
  <c r="F16" i="16"/>
  <c r="F7" i="16"/>
  <c r="E8" i="16"/>
  <c r="E9" i="16"/>
  <c r="E10" i="16"/>
  <c r="E11" i="16"/>
  <c r="E12" i="16"/>
  <c r="E13" i="16"/>
  <c r="E14" i="16"/>
  <c r="E15" i="16"/>
  <c r="E16" i="16"/>
  <c r="E17" i="16"/>
  <c r="E18" i="16"/>
  <c r="E7" i="16"/>
  <c r="E2" i="16"/>
  <c r="F23" i="28"/>
  <c r="F24" i="28"/>
  <c r="F22" i="28"/>
  <c r="F15" i="28"/>
  <c r="F16" i="28"/>
  <c r="B2" i="28"/>
  <c r="C2" i="28" s="1"/>
  <c r="F3" i="28"/>
  <c r="D19" i="10"/>
  <c r="F2" i="17"/>
  <c r="C3" i="17"/>
  <c r="C2" i="17"/>
  <c r="B2" i="17"/>
  <c r="D2" i="17"/>
  <c r="B14" i="3"/>
  <c r="E2" i="17"/>
  <c r="C9" i="1"/>
  <c r="C4" i="1" s="1"/>
  <c r="F4" i="28"/>
  <c r="B4" i="28"/>
  <c r="B3" i="28"/>
  <c r="C3" i="28" s="1"/>
  <c r="F2" i="28"/>
  <c r="E4" i="27"/>
  <c r="B4" i="27"/>
  <c r="E3" i="27"/>
  <c r="B3" i="27"/>
  <c r="E2" i="27"/>
  <c r="B2" i="27"/>
  <c r="E4" i="26"/>
  <c r="B4" i="26"/>
  <c r="E3" i="26"/>
  <c r="C3" i="26"/>
  <c r="B3" i="26"/>
  <c r="E2" i="26"/>
  <c r="B2" i="26"/>
  <c r="B3" i="25"/>
  <c r="B4" i="25"/>
  <c r="C3" i="24"/>
  <c r="C2" i="24"/>
  <c r="B4" i="24"/>
  <c r="B3" i="24"/>
  <c r="B2" i="24"/>
  <c r="B2" i="22"/>
  <c r="B13" i="3"/>
  <c r="F2" i="6"/>
  <c r="C3" i="22"/>
  <c r="B4" i="22"/>
  <c r="B3" i="22"/>
  <c r="D3" i="13"/>
  <c r="B19" i="3"/>
  <c r="C2" i="1"/>
  <c r="C2" i="26" s="1"/>
  <c r="B19" i="12"/>
  <c r="B19" i="21"/>
  <c r="B15" i="21"/>
  <c r="B14" i="21"/>
  <c r="B13" i="21"/>
  <c r="B15" i="12"/>
  <c r="B14" i="12"/>
  <c r="B13" i="12"/>
  <c r="D37" i="10"/>
  <c r="D38" i="10"/>
  <c r="D35" i="10"/>
  <c r="D36" i="10"/>
  <c r="D20" i="10"/>
  <c r="D21" i="10"/>
  <c r="D22" i="10"/>
  <c r="D6" i="10"/>
  <c r="D14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E40" i="10" s="1"/>
  <c r="C40" i="10"/>
  <c r="D39" i="10"/>
  <c r="E39" i="10" s="1"/>
  <c r="C39" i="10"/>
  <c r="C38" i="10"/>
  <c r="C37" i="10"/>
  <c r="C36" i="10"/>
  <c r="C35" i="10"/>
  <c r="D30" i="10"/>
  <c r="C30" i="10"/>
  <c r="D29" i="10"/>
  <c r="C29" i="10"/>
  <c r="D28" i="10"/>
  <c r="C28" i="10"/>
  <c r="D27" i="10"/>
  <c r="E27" i="10" s="1"/>
  <c r="C27" i="10"/>
  <c r="D26" i="10"/>
  <c r="C26" i="10"/>
  <c r="D25" i="10"/>
  <c r="C25" i="10"/>
  <c r="D24" i="10"/>
  <c r="C24" i="10"/>
  <c r="D23" i="10"/>
  <c r="C23" i="10"/>
  <c r="C22" i="10"/>
  <c r="C21" i="10"/>
  <c r="C20" i="10"/>
  <c r="E19" i="10"/>
  <c r="C19" i="10"/>
  <c r="D8" i="10"/>
  <c r="D9" i="10"/>
  <c r="D10" i="10"/>
  <c r="D11" i="10"/>
  <c r="D12" i="10"/>
  <c r="D13" i="10"/>
  <c r="B15" i="3" s="1"/>
  <c r="D7" i="10"/>
  <c r="D4" i="10"/>
  <c r="D5" i="10"/>
  <c r="D3" i="10"/>
  <c r="E3" i="10" s="1"/>
  <c r="C4" i="10"/>
  <c r="C5" i="10"/>
  <c r="C6" i="10"/>
  <c r="C7" i="10"/>
  <c r="C8" i="10"/>
  <c r="C9" i="10"/>
  <c r="C10" i="10"/>
  <c r="C11" i="10"/>
  <c r="C12" i="10"/>
  <c r="C13" i="10"/>
  <c r="C14" i="10"/>
  <c r="C3" i="10"/>
  <c r="B4" i="20"/>
  <c r="B3" i="20"/>
  <c r="B2" i="20"/>
  <c r="B4" i="19"/>
  <c r="B3" i="19"/>
  <c r="B2" i="19"/>
  <c r="D2" i="19"/>
  <c r="B4" i="13"/>
  <c r="B3" i="13"/>
  <c r="B2" i="13"/>
  <c r="D2" i="13" s="1"/>
  <c r="C4" i="21"/>
  <c r="D4" i="21" s="1"/>
  <c r="C2" i="21"/>
  <c r="C4" i="12"/>
  <c r="D4" i="12" s="1"/>
  <c r="C3" i="12"/>
  <c r="D3" i="12" s="1"/>
  <c r="C2" i="12"/>
  <c r="C2" i="3"/>
  <c r="D2" i="3" s="1"/>
  <c r="C4" i="3"/>
  <c r="C3" i="3"/>
  <c r="D3" i="3" s="1"/>
  <c r="D21" i="14"/>
  <c r="E21" i="14"/>
  <c r="C21" i="14"/>
  <c r="D19" i="14"/>
  <c r="E19" i="14"/>
  <c r="C19" i="14"/>
  <c r="D12" i="14"/>
  <c r="E12" i="14"/>
  <c r="D14" i="14"/>
  <c r="E14" i="14"/>
  <c r="C14" i="14"/>
  <c r="C12" i="14"/>
  <c r="D28" i="14"/>
  <c r="E28" i="14"/>
  <c r="C28" i="14"/>
  <c r="D23" i="14"/>
  <c r="E23" i="14"/>
  <c r="C23" i="14"/>
  <c r="D16" i="14"/>
  <c r="E16" i="14"/>
  <c r="C16" i="14"/>
  <c r="D4" i="20"/>
  <c r="D3" i="20"/>
  <c r="D2" i="20"/>
  <c r="D4" i="19"/>
  <c r="D3" i="19"/>
  <c r="D4" i="13"/>
  <c r="C8" i="18"/>
  <c r="C3" i="18" s="1"/>
  <c r="C9" i="18"/>
  <c r="C4" i="18" s="1"/>
  <c r="C7" i="18"/>
  <c r="B8" i="18"/>
  <c r="B9" i="18"/>
  <c r="B4" i="18" s="1"/>
  <c r="B7" i="18"/>
  <c r="B2" i="18" s="1"/>
  <c r="B3" i="18"/>
  <c r="F3" i="18" s="1"/>
  <c r="C2" i="18"/>
  <c r="C2" i="25" s="1"/>
  <c r="C9" i="17"/>
  <c r="C8" i="17"/>
  <c r="C7" i="17"/>
  <c r="B8" i="17"/>
  <c r="B9" i="17"/>
  <c r="B7" i="17"/>
  <c r="B8" i="1"/>
  <c r="B7" i="1"/>
  <c r="B2" i="1" s="1"/>
  <c r="B9" i="1"/>
  <c r="C7" i="1"/>
  <c r="C8" i="1"/>
  <c r="C2" i="27"/>
  <c r="C4" i="17"/>
  <c r="C4" i="27" s="1"/>
  <c r="B4" i="17"/>
  <c r="F4" i="17" s="1"/>
  <c r="C3" i="27"/>
  <c r="B3" i="17"/>
  <c r="F3" i="17" s="1"/>
  <c r="G4" i="16"/>
  <c r="E4" i="16"/>
  <c r="F4" i="16" s="1"/>
  <c r="G3" i="16"/>
  <c r="E3" i="16"/>
  <c r="F3" i="16" s="1"/>
  <c r="F2" i="16"/>
  <c r="C3" i="1"/>
  <c r="G4" i="6"/>
  <c r="E4" i="6"/>
  <c r="F4" i="6" s="1"/>
  <c r="G3" i="6"/>
  <c r="E3" i="6"/>
  <c r="F3" i="6" s="1"/>
  <c r="G2" i="6"/>
  <c r="E2" i="6"/>
  <c r="D4" i="3"/>
  <c r="C2" i="22" l="1"/>
  <c r="C24" i="18"/>
  <c r="F24" i="18" s="1"/>
  <c r="C27" i="18"/>
  <c r="E4" i="28"/>
  <c r="G4" i="21"/>
  <c r="D2" i="25"/>
  <c r="I2" i="21"/>
  <c r="E2" i="28"/>
  <c r="G2" i="21"/>
  <c r="E24" i="18"/>
  <c r="F27" i="18"/>
  <c r="E27" i="18"/>
  <c r="F30" i="18"/>
  <c r="E30" i="18"/>
  <c r="F21" i="18"/>
  <c r="E21" i="18"/>
  <c r="C23" i="18"/>
  <c r="C26" i="18"/>
  <c r="C29" i="18"/>
  <c r="G14" i="20"/>
  <c r="D28" i="21"/>
  <c r="D29" i="21"/>
  <c r="D30" i="21"/>
  <c r="D27" i="21"/>
  <c r="C22" i="28"/>
  <c r="B8" i="28"/>
  <c r="C8" i="28"/>
  <c r="C24" i="28"/>
  <c r="C10" i="28"/>
  <c r="B10" i="28"/>
  <c r="C16" i="28"/>
  <c r="B16" i="28"/>
  <c r="C23" i="28"/>
  <c r="C9" i="28"/>
  <c r="B9" i="28"/>
  <c r="C15" i="28"/>
  <c r="B15" i="28"/>
  <c r="C14" i="28"/>
  <c r="B14" i="28"/>
  <c r="D4" i="28"/>
  <c r="C4" i="25"/>
  <c r="D3" i="28"/>
  <c r="C3" i="25"/>
  <c r="E23" i="28"/>
  <c r="D23" i="28"/>
  <c r="D9" i="28"/>
  <c r="D2" i="28"/>
  <c r="C4" i="28"/>
  <c r="D2" i="12"/>
  <c r="B10" i="12" s="1"/>
  <c r="C10" i="12"/>
  <c r="D3" i="18"/>
  <c r="E3" i="18" s="1"/>
  <c r="C4" i="24"/>
  <c r="D3" i="17"/>
  <c r="E3" i="17" s="1"/>
  <c r="C4" i="26"/>
  <c r="C4" i="22"/>
  <c r="C10" i="3"/>
  <c r="E41" i="10"/>
  <c r="E7" i="10"/>
  <c r="E42" i="10"/>
  <c r="E21" i="10"/>
  <c r="E22" i="10"/>
  <c r="E43" i="10"/>
  <c r="E20" i="10"/>
  <c r="E30" i="10"/>
  <c r="E35" i="10"/>
  <c r="E24" i="10"/>
  <c r="E36" i="10"/>
  <c r="E11" i="10"/>
  <c r="E44" i="10"/>
  <c r="E29" i="10"/>
  <c r="E25" i="10"/>
  <c r="E37" i="10"/>
  <c r="E45" i="10"/>
  <c r="E28" i="10"/>
  <c r="E14" i="10"/>
  <c r="E26" i="10"/>
  <c r="E38" i="10"/>
  <c r="E6" i="10"/>
  <c r="E23" i="10"/>
  <c r="E46" i="10"/>
  <c r="E5" i="10"/>
  <c r="E4" i="10"/>
  <c r="E12" i="10"/>
  <c r="E9" i="10"/>
  <c r="E13" i="10"/>
  <c r="E10" i="10"/>
  <c r="E8" i="10"/>
  <c r="D3" i="21"/>
  <c r="D2" i="21"/>
  <c r="C10" i="21"/>
  <c r="B10" i="3"/>
  <c r="D4" i="18"/>
  <c r="E4" i="18" s="1"/>
  <c r="D2" i="18"/>
  <c r="E2" i="18" s="1"/>
  <c r="F4" i="18"/>
  <c r="D4" i="17"/>
  <c r="E4" i="17" s="1"/>
  <c r="D2" i="1"/>
  <c r="E23" i="18" l="1"/>
  <c r="F23" i="18"/>
  <c r="E26" i="18"/>
  <c r="F26" i="18"/>
  <c r="E29" i="18"/>
  <c r="F29" i="18"/>
  <c r="E20" i="18"/>
  <c r="F20" i="18"/>
  <c r="D15" i="28"/>
  <c r="D30" i="18"/>
  <c r="D27" i="18"/>
  <c r="D24" i="18"/>
  <c r="D21" i="18"/>
  <c r="D16" i="28"/>
  <c r="D31" i="18"/>
  <c r="D28" i="18"/>
  <c r="K28" i="18" s="1"/>
  <c r="D25" i="18"/>
  <c r="K25" i="18" s="1"/>
  <c r="D22" i="18"/>
  <c r="K22" i="18" s="1"/>
  <c r="D14" i="28"/>
  <c r="D29" i="18"/>
  <c r="D20" i="18"/>
  <c r="D23" i="18"/>
  <c r="D26" i="18"/>
  <c r="C25" i="18"/>
  <c r="C28" i="18"/>
  <c r="C31" i="18"/>
  <c r="C22" i="18"/>
  <c r="E22" i="28"/>
  <c r="D22" i="28"/>
  <c r="D8" i="28"/>
  <c r="D24" i="28"/>
  <c r="D10" i="28"/>
  <c r="E24" i="28"/>
  <c r="E10" i="12"/>
  <c r="D10" i="12"/>
  <c r="B10" i="21"/>
  <c r="E10" i="21" s="1"/>
  <c r="F3" i="12"/>
  <c r="F4" i="12"/>
  <c r="E3" i="12"/>
  <c r="E4" i="12"/>
  <c r="J30" i="18" l="1"/>
  <c r="I30" i="18"/>
  <c r="H29" i="18"/>
  <c r="J21" i="18"/>
  <c r="J27" i="18"/>
  <c r="I27" i="18"/>
  <c r="H26" i="18"/>
  <c r="G26" i="18"/>
  <c r="H23" i="18"/>
  <c r="G23" i="18"/>
  <c r="G20" i="18"/>
  <c r="H20" i="18"/>
  <c r="J24" i="18"/>
  <c r="I24" i="18"/>
  <c r="K31" i="18"/>
  <c r="L31" i="18"/>
  <c r="L28" i="18"/>
  <c r="L25" i="18"/>
  <c r="L22" i="18"/>
  <c r="E25" i="18"/>
  <c r="F25" i="18"/>
  <c r="E28" i="18"/>
  <c r="F28" i="18"/>
  <c r="E31" i="18"/>
  <c r="F31" i="18"/>
  <c r="E22" i="18"/>
  <c r="F22" i="18"/>
  <c r="I2" i="12"/>
  <c r="D2" i="24"/>
  <c r="F2" i="24" s="1"/>
  <c r="H2" i="24" s="1"/>
  <c r="D2" i="27"/>
  <c r="G2" i="12"/>
  <c r="D4" i="27"/>
  <c r="D4" i="24"/>
  <c r="F4" i="24" s="1"/>
  <c r="H4" i="24" s="1"/>
  <c r="G4" i="12"/>
  <c r="D3" i="24"/>
  <c r="F3" i="24" s="1"/>
  <c r="H3" i="24" s="1"/>
  <c r="D3" i="27"/>
  <c r="G3" i="12"/>
  <c r="D10" i="21"/>
  <c r="I4" i="12"/>
  <c r="I3" i="12"/>
  <c r="D4" i="25" l="1"/>
  <c r="F4" i="25" s="1"/>
  <c r="H4" i="25" s="1"/>
  <c r="F3" i="25"/>
  <c r="F2" i="25"/>
  <c r="I2" i="24"/>
  <c r="F2" i="27"/>
  <c r="G2" i="27" s="1"/>
  <c r="H2" i="27" s="1"/>
  <c r="I4" i="24"/>
  <c r="F4" i="27"/>
  <c r="G4" i="27" s="1"/>
  <c r="H4" i="27" s="1"/>
  <c r="I3" i="24"/>
  <c r="F3" i="27"/>
  <c r="G3" i="27" s="1"/>
  <c r="H3" i="27" s="1"/>
  <c r="E4" i="21"/>
  <c r="E3" i="21"/>
  <c r="J4" i="21" l="1"/>
  <c r="E10" i="28" s="1"/>
  <c r="G3" i="21"/>
  <c r="I3" i="21"/>
  <c r="J3" i="21"/>
  <c r="E9" i="28" s="1"/>
  <c r="J2" i="21"/>
  <c r="H3" i="25"/>
  <c r="G3" i="28" s="1"/>
  <c r="H2" i="25"/>
  <c r="G2" i="28" s="1"/>
  <c r="G4" i="28"/>
  <c r="E8" i="28"/>
  <c r="E28" i="21" l="1"/>
  <c r="E37" i="21" s="1"/>
  <c r="E27" i="21"/>
  <c r="E30" i="21"/>
  <c r="E29" i="21"/>
  <c r="F29" i="21"/>
  <c r="G29" i="21" s="1"/>
  <c r="F28" i="21"/>
  <c r="G28" i="21" s="1"/>
  <c r="F27" i="21"/>
  <c r="G27" i="21" s="1"/>
  <c r="F30" i="21"/>
  <c r="G30" i="21" s="1"/>
  <c r="G10" i="28"/>
  <c r="H4" i="28"/>
  <c r="I4" i="28" s="1"/>
  <c r="G8" i="28"/>
  <c r="H2" i="28"/>
  <c r="I2" i="28" s="1"/>
  <c r="H3" i="28"/>
  <c r="I3" i="28" s="1"/>
  <c r="G9" i="28"/>
  <c r="I4" i="25"/>
  <c r="I2" i="25"/>
  <c r="I3" i="25"/>
  <c r="G16" i="28" l="1"/>
  <c r="G11" i="25"/>
  <c r="B11" i="25"/>
  <c r="H11" i="25"/>
  <c r="G14" i="28"/>
  <c r="B9" i="25"/>
  <c r="G15" i="28"/>
  <c r="F10" i="25"/>
  <c r="E10" i="25"/>
  <c r="B10" i="25"/>
  <c r="F37" i="21"/>
  <c r="G37" i="21"/>
  <c r="E39" i="21"/>
  <c r="E38" i="21"/>
  <c r="D38" i="21"/>
  <c r="C38" i="21"/>
  <c r="D37" i="21"/>
  <c r="C37" i="21"/>
  <c r="C36" i="21"/>
  <c r="D36" i="21"/>
  <c r="D39" i="21"/>
  <c r="C39" i="21"/>
  <c r="D10" i="3"/>
  <c r="E3" i="3" s="1"/>
  <c r="E10" i="3"/>
  <c r="G36" i="21" l="1"/>
  <c r="F36" i="21"/>
  <c r="F39" i="21"/>
  <c r="G39" i="21"/>
  <c r="F38" i="21"/>
  <c r="G38" i="21"/>
  <c r="F3" i="3"/>
  <c r="F4" i="3"/>
  <c r="F2" i="3"/>
  <c r="G3" i="3"/>
  <c r="E2" i="3"/>
  <c r="G2" i="3" s="1"/>
  <c r="E4" i="3"/>
  <c r="E3" i="2"/>
  <c r="F3" i="2" s="1"/>
  <c r="E4" i="2"/>
  <c r="F4" i="2" s="1"/>
  <c r="E2" i="2"/>
  <c r="F2" i="2" s="1"/>
  <c r="B3" i="1"/>
  <c r="B4" i="1"/>
  <c r="E2" i="1"/>
  <c r="D2" i="22" l="1"/>
  <c r="F2" i="22" s="1"/>
  <c r="H2" i="22" s="1"/>
  <c r="D2" i="26"/>
  <c r="D4" i="26"/>
  <c r="D4" i="22"/>
  <c r="F4" i="22" s="1"/>
  <c r="H4" i="22" s="1"/>
  <c r="I4" i="22" s="1"/>
  <c r="F4" i="26" s="1"/>
  <c r="G4" i="26" s="1"/>
  <c r="H4" i="26" s="1"/>
  <c r="D3" i="26"/>
  <c r="D3" i="22"/>
  <c r="F3" i="22" s="1"/>
  <c r="H3" i="22" s="1"/>
  <c r="I3" i="22" s="1"/>
  <c r="F3" i="26" s="1"/>
  <c r="G4" i="3"/>
  <c r="I4" i="3"/>
  <c r="I2" i="3"/>
  <c r="F4" i="1"/>
  <c r="D4" i="1"/>
  <c r="E4" i="1" s="1"/>
  <c r="F3" i="1"/>
  <c r="D3" i="1"/>
  <c r="E3" i="1" s="1"/>
  <c r="F2" i="1"/>
  <c r="G3" i="26" l="1"/>
  <c r="H3" i="26" s="1"/>
  <c r="F2" i="26"/>
  <c r="G2" i="26" s="1"/>
  <c r="H2" i="26" s="1"/>
  <c r="I2" i="22"/>
</calcChain>
</file>

<file path=xl/sharedStrings.xml><?xml version="1.0" encoding="utf-8"?>
<sst xmlns="http://schemas.openxmlformats.org/spreadsheetml/2006/main" count="453" uniqueCount="149">
  <si>
    <t>summer</t>
  </si>
  <si>
    <t>winter</t>
  </si>
  <si>
    <t>off season</t>
  </si>
  <si>
    <t>total</t>
  </si>
  <si>
    <t>estimated duration of season in months (Ms)</t>
  </si>
  <si>
    <t xml:space="preserve">long term </t>
  </si>
  <si>
    <t xml:space="preserve">short term </t>
  </si>
  <si>
    <t>study area (without Madulain and Chapella)</t>
  </si>
  <si>
    <t>all campsites</t>
  </si>
  <si>
    <t>Camping Morteratsch</t>
  </si>
  <si>
    <t>all year</t>
  </si>
  <si>
    <t>TCS Camping Samedan</t>
  </si>
  <si>
    <t>Camping Gravatscha</t>
  </si>
  <si>
    <t>Camping Madulain</t>
  </si>
  <si>
    <t>winter &amp; summer</t>
  </si>
  <si>
    <t>Camping Silvaplana</t>
  </si>
  <si>
    <t>Camping St. Moritz</t>
  </si>
  <si>
    <t>Camping Mulina</t>
  </si>
  <si>
    <t>Camping Chapella</t>
  </si>
  <si>
    <t>Camping Maloja</t>
  </si>
  <si>
    <t>final area (only Maloja, Mulina, Silvaplana, St. Moritz)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</si>
  <si>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</si>
  <si>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</si>
  <si>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</si>
  <si>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</si>
  <si>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</si>
  <si>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</si>
  <si>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</si>
  <si>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</si>
  <si>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</si>
  <si>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</si>
  <si>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</si>
  <si>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</si>
  <si>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original overnight stays in hotels per month (Todm)</t>
  </si>
  <si>
    <t>original overnight stays in hotels per month ratio</t>
  </si>
  <si>
    <t>customized overnight stays in hotels per month (Todm)</t>
  </si>
  <si>
    <t>customized overnight stays in hotels per month ratio</t>
  </si>
  <si>
    <t>all data</t>
  </si>
  <si>
    <t>study area</t>
  </si>
  <si>
    <t xml:space="preserve"> final area</t>
  </si>
  <si>
    <t>month</t>
  </si>
  <si>
    <t>number of days in the month (Ndm)</t>
  </si>
  <si>
    <t>tourist arrivals in hotels for the Maloja district per month (Htadm)</t>
  </si>
  <si>
    <t>tourist overnight stays in non hotels for the canton of Grisons per year (Ntocy)</t>
  </si>
  <si>
    <t>camping spots short term in the canton of Grisons in total (Csct)</t>
  </si>
  <si>
    <t>camping spots short term in the Maloja district for the selected month (Csdm)</t>
  </si>
  <si>
    <t>camping spots short term in the Maloja district in total (Csdt)</t>
  </si>
  <si>
    <t>camping spots short term annual compound availability in the canton of Grisons (Csacc)</t>
  </si>
  <si>
    <t>camping spots short term annual compound availability in the Maloja district (Csacd)</t>
  </si>
  <si>
    <t>campground arrivals at short term spots in the Maloja district as an annual total (Casdt)</t>
  </si>
  <si>
    <t>campground arrivals at short term spots in the Maloja district as an annual total (Casdat)</t>
  </si>
  <si>
    <t>campground overnight stays at short term spots in the Maloja district as a monthly total (Cosdmt)</t>
  </si>
  <si>
    <t>average number of tourist per night at short term camping spots in the Maloja district (Catnd)</t>
  </si>
  <si>
    <t>average number of tourist per night in non hotels in the Maloja district (Natnd)</t>
  </si>
  <si>
    <t>tourist average number of overnight stays per arrival in non hotels in the Maloja district (Ntaoad)</t>
  </si>
  <si>
    <t>tourist average number of overnight stays per arrival in hotels in the Maloja district (Ntaoad)</t>
  </si>
  <si>
    <t>average number of tourist per night in hotels in the Maloja district (Atnh)</t>
  </si>
  <si>
    <t>average number of arrivals and departures in hotels in the Maloja district (Aad)</t>
  </si>
  <si>
    <t>tourist overnight stays in hotels in the Maloja district per month (Htodm)</t>
  </si>
  <si>
    <t>tourist overnight stays in hotels in the Maloja district per year (Htody)</t>
  </si>
  <si>
    <t>tourist overnight stays in hotels in the canton of Grisons per year (Htocy)</t>
  </si>
  <si>
    <t>tourist arrivals in non hotels in the canton of Grisons per year (Ntacy)</t>
  </si>
  <si>
    <t>tourist arrivals in hotels in the Maloja district per year (Htady)</t>
  </si>
  <si>
    <t>tourist arrivals in hotels in the canton of Grisons per year (Htacy)</t>
  </si>
  <si>
    <t>tourist arrivals in hotels in the Maloja district per month (Htadm)</t>
  </si>
  <si>
    <t>tourist arrivals in non hotels in the Maloja district per month (Ntadm)</t>
  </si>
  <si>
    <t>tourist overnight stays in non hotels in the Maloja district per month (Ntodm)</t>
  </si>
  <si>
    <t>average number of arrivals and departures in non hotels in the Maloja district (Naadd)</t>
  </si>
  <si>
    <t>tourist overnight stays in hotels in the Maloja district per year customized curve (Htodyc)</t>
  </si>
  <si>
    <t>tourist overnight stays in hotels in the Maloja district per month customized curve (Htodmc)</t>
  </si>
  <si>
    <t>campground arrivals at short term spots in the canton of Grisons in total (Casct)</t>
  </si>
  <si>
    <t>campground overnight stays at short term spots in the canton of Grisons in total (Cosct)</t>
  </si>
  <si>
    <t>camping spots short term available in the canton of Grisons for the selected month (Csacm)</t>
  </si>
  <si>
    <t>campground arrivals at short term spots in the Maloja district as a monthly total (Casdmt)</t>
  </si>
  <si>
    <t>average number of overnight stays per arrival at short term camping spots in the Maloja district (Ctaoad)</t>
  </si>
  <si>
    <t>average number of arrivals and departures at short term camping spots in the Maloja district (Caadd)</t>
  </si>
  <si>
    <t>estimated occupancy of long term camping spots (Cleo)</t>
  </si>
  <si>
    <t>camping spots long term in the Maloja district for the selected month (Cldm)</t>
  </si>
  <si>
    <t>estimated number of tourists that stay at long term camping spots in the Maloja district (Cletd)</t>
  </si>
  <si>
    <t>total number of tourist that stay overnight in the Maloja district per month (Tod)</t>
  </si>
  <si>
    <t>day trip tourist factor as a percentage of the total number of tourists in the Maloja district (Dtptd)</t>
  </si>
  <si>
    <t>total number of day trip tourist in the Maloja district per month (Dtdm)</t>
  </si>
  <si>
    <t>average number of day trip tourist in the Maloja district per day (Dtdd)</t>
  </si>
  <si>
    <t>total number of tourists in the Maloja district per month (Ttdm)</t>
  </si>
  <si>
    <t>total number of tourists in the Maloja district per day (Ttdd)</t>
  </si>
  <si>
    <t>tourist overnight stays in private accommodation in the Maloja district per month</t>
  </si>
  <si>
    <t>arrival/departure by public transportation rate</t>
  </si>
  <si>
    <t>going arround the destination by public transportation rate</t>
  </si>
  <si>
    <t>going grocery shopping the destination by public transportation rate</t>
  </si>
  <si>
    <t>grocery shopping only trips</t>
  </si>
  <si>
    <t>Sils im Engadin/Segl</t>
  </si>
  <si>
    <t>Silvaplana</t>
  </si>
  <si>
    <t>Bregaglia</t>
  </si>
  <si>
    <t>St. Moritz</t>
  </si>
  <si>
    <t>municipality</t>
  </si>
  <si>
    <t>tourist arrivals in hotels</t>
  </si>
  <si>
    <t>tourist overnight stays in hotels</t>
  </si>
  <si>
    <t>tourist average number of overnight stays per arrival in hotels</t>
  </si>
  <si>
    <t>average number of tourist per night in hotels</t>
  </si>
  <si>
    <t>average number of arrivals and departures in hotels</t>
  </si>
  <si>
    <t>tourists arriving/departing by public transportation</t>
  </si>
  <si>
    <t>tourists getting around by public transportation rate</t>
  </si>
  <si>
    <t>tourists visiting winter sports areas rate</t>
  </si>
  <si>
    <t>tourists visiting winter sports areas by public transportation</t>
  </si>
  <si>
    <t>winter season other activities rate</t>
  </si>
  <si>
    <t>Maloja</t>
  </si>
  <si>
    <t>Mulina</t>
  </si>
  <si>
    <t>campground</t>
  </si>
  <si>
    <t>camping spots</t>
  </si>
  <si>
    <t>share of camping spots in the study area</t>
  </si>
  <si>
    <t>average number of arrivals or departures at short term camping spots in the Maloja district</t>
  </si>
  <si>
    <t>PT usage rate</t>
  </si>
  <si>
    <t>average number of short term camping spot arrivals going grovery shopping by PT on arrival day</t>
  </si>
  <si>
    <t>average number of short term camping spot arrivals not going grovery shopping by PT on arrival day</t>
  </si>
  <si>
    <t>estimated number of tourists that stay at long term camping spots in the Maloja district</t>
  </si>
  <si>
    <t>grocery shopping rate</t>
  </si>
  <si>
    <t>non-grocery shopping trips per direction</t>
  </si>
  <si>
    <t>grocery shopping trips per direction</t>
  </si>
  <si>
    <t>summer desinations</t>
  </si>
  <si>
    <t>general travel</t>
  </si>
  <si>
    <t>tourists visiting summer sports areas rate</t>
  </si>
  <si>
    <t>summer season other activities rate</t>
  </si>
  <si>
    <t>average number of arrivals or departures in hotels</t>
  </si>
  <si>
    <t>average number of arrivals or departures in non hotels in the Maloja district</t>
  </si>
  <si>
    <t>average number of tourist per night in non hotels in the Maloja district</t>
  </si>
  <si>
    <t>grocery shopping on arrival rate</t>
  </si>
  <si>
    <t>tourist arrivals in private accomodation</t>
  </si>
  <si>
    <t>tourist overnight stays in private accomodation</t>
  </si>
  <si>
    <t>tourist average number of overnight stays per arrival in private accommodation</t>
  </si>
  <si>
    <t>average number of arrivals and departures in private accommodation</t>
  </si>
  <si>
    <t>average number of arrivals or departures in private accommodation</t>
  </si>
  <si>
    <t>tourists visiting off season sports areas rate</t>
  </si>
  <si>
    <t>off season other activities rate</t>
  </si>
  <si>
    <t>average number of tourist per night in private accommodation</t>
  </si>
  <si>
    <t>campground overnight stays at short term camping spots in the Maloja district as a monthly total (Cosdmt)</t>
  </si>
  <si>
    <t>campground overnight stays at long term camping spots in the Maloja district as a monthly total</t>
  </si>
  <si>
    <t>total PT demand</t>
  </si>
  <si>
    <t>tourists visiting sports areas in the off season by public transportation</t>
  </si>
  <si>
    <t>tourists visiting other activities in the off season by public transportation</t>
  </si>
  <si>
    <t>tourists visiting sports areas in the winter season by public transportation</t>
  </si>
  <si>
    <t>tourists visiting sports areas in the summer season by public transportation</t>
  </si>
  <si>
    <t>tourists visiting other activities in the winter season by public transportation</t>
  </si>
  <si>
    <t>tourists visiting other activities in the summer season by public transportation</t>
  </si>
  <si>
    <t>tourists going grocery shopping by public transportation</t>
  </si>
  <si>
    <t>tourists going to winter sports areas by PT rate</t>
  </si>
  <si>
    <t>arrival by public transportation rate</t>
  </si>
  <si>
    <t>average number of short term camping spot tourists doing activities by PT</t>
  </si>
  <si>
    <t>additional trips</t>
  </si>
  <si>
    <t>total annual PT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</si>
</sst>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17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1" fontId="0" fillId="0" borderId="0" xfId="0" applyNumberFormat="1"/>
    <xf numFmtId="0" fontId="0" fillId="0" borderId="2" xfId="0" applyBorder="1" applyAlignment="1">
      <alignment wrapText="1"/>
    </xf>
    <xf numFmtId="17" fontId="0" fillId="0" borderId="1" xfId="0" applyNumberFormat="1" applyBorder="1"/>
    <xf numFmtId="9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 applyAlignment="1">
      <alignment wrapText="1"/>
    </xf>
    <xf numFmtId="1" fontId="0" fillId="0" borderId="0" xfId="0" applyNumberFormat="1" applyAlignment="1">
      <alignment wrapText="1"/>
    </xf>
    <xf numFmtId="2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9" fontId="0" fillId="0" borderId="3" xfId="0" applyNumberFormat="1" applyBorder="1"/>
    <xf numFmtId="9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7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1" fontId="0" fillId="0" borderId="3" xfId="0" applyNumberFormat="1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wrapText="1"/>
    </xf>
    <xf numFmtId="10" fontId="0" fillId="0" borderId="1" xfId="0" applyNumberFormat="1" applyBorder="1" applyAlignment="1">
      <alignment wrapText="1"/>
    </xf>
    <xf numFmtId="1" fontId="0" fillId="0" borderId="2" xfId="0" applyNumberFormat="1" applyBorder="1"/>
    <xf numFmtId="1" fontId="0" fillId="0" borderId="8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928E-B2AD-49A6-9484-0AC50B642770}">
  <dimension ref="A1:G4"/>
  <sheetViews>
    <sheetView workbookViewId="0">
      <selection activeCell="C42" sqref="C42"/>
    </sheetView>
  </sheetViews>
  <sheetFormatPr baseColWidth="10" defaultRowHeight="15" x14ac:dyDescent="0.25"/>
  <cols>
    <col min="2" max="2" width="31.28515625" bestFit="1" customWidth="1"/>
    <col min="3" max="3" width="34.140625" bestFit="1" customWidth="1"/>
    <col min="4" max="4" width="16.85546875" bestFit="1" customWidth="1"/>
    <col min="5" max="5" width="42.42578125" bestFit="1" customWidth="1"/>
    <col min="6" max="6" width="33.42578125" bestFit="1" customWidth="1"/>
    <col min="7" max="7" width="39" bestFit="1" customWidth="1"/>
  </cols>
  <sheetData>
    <row r="1" spans="1:7" ht="30" customHeight="1" x14ac:dyDescent="0.25">
      <c r="A1" t="s">
        <v>40</v>
      </c>
      <c r="B1" s="7" t="s">
        <v>42</v>
      </c>
      <c r="C1" s="7" t="s">
        <v>58</v>
      </c>
      <c r="D1" s="7" t="s">
        <v>41</v>
      </c>
      <c r="E1" s="7" t="s">
        <v>55</v>
      </c>
      <c r="F1" s="7" t="s">
        <v>56</v>
      </c>
      <c r="G1" s="7" t="s">
        <v>57</v>
      </c>
    </row>
    <row r="2" spans="1:7" x14ac:dyDescent="0.25">
      <c r="A2" s="11">
        <v>45323</v>
      </c>
      <c r="B2" s="5">
        <v>68236</v>
      </c>
      <c r="C2" s="5">
        <v>254496</v>
      </c>
      <c r="D2" s="8">
        <v>29</v>
      </c>
      <c r="E2" s="8">
        <f>C2/B2</f>
        <v>3.7296441760947299</v>
      </c>
      <c r="F2" s="8">
        <f>B2/(D2/E2)</f>
        <v>8775.7241379310344</v>
      </c>
      <c r="G2" s="8">
        <f>(B2/D2)*2</f>
        <v>4705.9310344827591</v>
      </c>
    </row>
    <row r="3" spans="1:7" x14ac:dyDescent="0.25">
      <c r="A3" s="11">
        <v>45505</v>
      </c>
      <c r="B3" s="5">
        <v>74875</v>
      </c>
      <c r="C3" s="5">
        <v>209937</v>
      </c>
      <c r="D3" s="8">
        <v>31</v>
      </c>
      <c r="E3" s="8">
        <f>C3/B3</f>
        <v>2.8038330550918196</v>
      </c>
      <c r="F3" s="8">
        <f>B3/(D3/E3)</f>
        <v>6772.1612903225796</v>
      </c>
      <c r="G3" s="8">
        <f>(B3/D3)*2</f>
        <v>4830.6451612903229</v>
      </c>
    </row>
    <row r="4" spans="1:7" x14ac:dyDescent="0.25">
      <c r="A4" s="11">
        <v>45597</v>
      </c>
      <c r="B4" s="5">
        <v>18074</v>
      </c>
      <c r="C4" s="5">
        <v>36859</v>
      </c>
      <c r="D4" s="8">
        <v>30</v>
      </c>
      <c r="E4" s="8">
        <f>C4/B4</f>
        <v>2.039338275976541</v>
      </c>
      <c r="F4" s="8">
        <f>B4/(D4/E4)</f>
        <v>1228.6333333333334</v>
      </c>
      <c r="G4" s="8">
        <f>(B4/D4)*2</f>
        <v>1204.9333333333334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27D7-3CAC-4262-8B74-1A522EFA1F1B}">
  <dimension ref="A1:G17"/>
  <sheetViews>
    <sheetView workbookViewId="0"/>
  </sheetViews>
  <sheetFormatPr baseColWidth="10" defaultRowHeight="15" x14ac:dyDescent="0.25"/>
  <cols>
    <col min="2" max="2" width="31.28515625" bestFit="1" customWidth="1"/>
    <col min="3" max="3" width="34.140625" bestFit="1" customWidth="1"/>
    <col min="4" max="4" width="16.85546875" bestFit="1" customWidth="1"/>
    <col min="5" max="5" width="42.42578125" bestFit="1" customWidth="1"/>
    <col min="6" max="6" width="33.42578125" bestFit="1" customWidth="1"/>
    <col min="7" max="7" width="39" bestFit="1" customWidth="1"/>
  </cols>
  <sheetData>
    <row r="1" spans="1:7" ht="30" customHeight="1" x14ac:dyDescent="0.25">
      <c r="A1" t="s">
        <v>40</v>
      </c>
      <c r="B1" s="7" t="s">
        <v>42</v>
      </c>
      <c r="C1" s="7" t="s">
        <v>58</v>
      </c>
      <c r="D1" s="7" t="s">
        <v>41</v>
      </c>
      <c r="E1" s="7" t="s">
        <v>55</v>
      </c>
      <c r="F1" s="7" t="s">
        <v>56</v>
      </c>
      <c r="G1" s="7" t="s">
        <v>57</v>
      </c>
    </row>
    <row r="2" spans="1:7" x14ac:dyDescent="0.25">
      <c r="A2" s="11">
        <v>45323</v>
      </c>
      <c r="B2" s="5">
        <v>66707</v>
      </c>
      <c r="C2" s="5">
        <v>248763</v>
      </c>
      <c r="D2" s="8">
        <v>29</v>
      </c>
      <c r="E2" s="16">
        <f>C2/B2</f>
        <v>3.7291888407513456</v>
      </c>
      <c r="F2" s="8">
        <f>B2/(D2/E2)</f>
        <v>8578.0344827586214</v>
      </c>
      <c r="G2" s="8">
        <f>(B2/D2)*2</f>
        <v>4600.4827586206893</v>
      </c>
    </row>
    <row r="3" spans="1:7" x14ac:dyDescent="0.25">
      <c r="A3" s="11">
        <v>45505</v>
      </c>
      <c r="B3" s="5">
        <v>73259</v>
      </c>
      <c r="C3" s="5">
        <v>206231</v>
      </c>
      <c r="D3" s="8">
        <v>31</v>
      </c>
      <c r="E3" s="16">
        <f>C3/B3</f>
        <v>2.8150943911328299</v>
      </c>
      <c r="F3" s="8">
        <f>B3/(D3/E3)</f>
        <v>6652.6129032258059</v>
      </c>
      <c r="G3" s="8">
        <f>(B3/D3)*2</f>
        <v>4726.3870967741932</v>
      </c>
    </row>
    <row r="4" spans="1:7" x14ac:dyDescent="0.25">
      <c r="A4" s="11">
        <v>45597</v>
      </c>
      <c r="B4" s="5">
        <v>17726</v>
      </c>
      <c r="C4" s="5">
        <v>36085</v>
      </c>
      <c r="D4" s="8">
        <v>30</v>
      </c>
      <c r="E4" s="16">
        <f>C4/B4</f>
        <v>2.0357102561209524</v>
      </c>
      <c r="F4" s="8">
        <f>B4/(D4/E4)</f>
        <v>1202.8333333333335</v>
      </c>
      <c r="G4" s="8">
        <f>(B4/D4)*2</f>
        <v>1181.7333333333333</v>
      </c>
    </row>
    <row r="15" spans="1:7" x14ac:dyDescent="0.25">
      <c r="A15" s="1"/>
    </row>
    <row r="16" spans="1:7" x14ac:dyDescent="0.25">
      <c r="A16" s="1"/>
    </row>
    <row r="17" spans="1:1" x14ac:dyDescent="0.25">
      <c r="A17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1D32-AE9E-4221-8993-39B87F7E9084}">
  <dimension ref="A1:J40"/>
  <sheetViews>
    <sheetView topLeftCell="A11" workbookViewId="0">
      <selection activeCell="B39" sqref="B39"/>
    </sheetView>
  </sheetViews>
  <sheetFormatPr baseColWidth="10" defaultRowHeight="15" x14ac:dyDescent="0.25"/>
  <cols>
    <col min="1" max="1" width="18.85546875" bestFit="1" customWidth="1"/>
    <col min="2" max="2" width="31.28515625" bestFit="1" customWidth="1"/>
    <col min="3" max="3" width="34.140625" bestFit="1" customWidth="1"/>
    <col min="4" max="4" width="23.85546875" bestFit="1" customWidth="1"/>
    <col min="5" max="5" width="42.42578125" bestFit="1" customWidth="1"/>
    <col min="6" max="6" width="35.42578125" bestFit="1" customWidth="1"/>
    <col min="7" max="7" width="39" bestFit="1" customWidth="1"/>
    <col min="8" max="8" width="37.42578125" bestFit="1" customWidth="1"/>
    <col min="9" max="9" width="40" bestFit="1" customWidth="1"/>
    <col min="10" max="10" width="33.5703125" bestFit="1" customWidth="1"/>
  </cols>
  <sheetData>
    <row r="1" spans="1:8" ht="30" customHeight="1" x14ac:dyDescent="0.25">
      <c r="A1" s="5" t="s">
        <v>40</v>
      </c>
      <c r="B1" s="7" t="s">
        <v>42</v>
      </c>
      <c r="C1" s="7" t="s">
        <v>58</v>
      </c>
      <c r="D1" s="7" t="s">
        <v>41</v>
      </c>
      <c r="E1" s="7" t="s">
        <v>55</v>
      </c>
      <c r="F1" s="7" t="s">
        <v>56</v>
      </c>
      <c r="G1" s="7" t="s">
        <v>57</v>
      </c>
    </row>
    <row r="2" spans="1:8" x14ac:dyDescent="0.25">
      <c r="A2" s="11">
        <v>45323</v>
      </c>
      <c r="B2" s="5">
        <v>42777</v>
      </c>
      <c r="C2" s="5">
        <v>165513</v>
      </c>
      <c r="D2" s="8">
        <v>29</v>
      </c>
      <c r="E2" s="8">
        <f>C2/B2</f>
        <v>3.8692054141244125</v>
      </c>
      <c r="F2" s="8">
        <f>B2/(D2/E2)</f>
        <v>5707.3448275862065</v>
      </c>
      <c r="G2" s="8">
        <f>(B2/D2)*2</f>
        <v>2950.1379310344828</v>
      </c>
    </row>
    <row r="3" spans="1:8" x14ac:dyDescent="0.25">
      <c r="A3" s="11">
        <v>45505</v>
      </c>
      <c r="B3" s="5">
        <v>49778</v>
      </c>
      <c r="C3" s="5">
        <v>137039</v>
      </c>
      <c r="D3" s="8">
        <v>31</v>
      </c>
      <c r="E3" s="8">
        <f>C3/B3</f>
        <v>2.7530033348065412</v>
      </c>
      <c r="F3" s="8">
        <f>B3/(D3/E3)</f>
        <v>4420.6129032258068</v>
      </c>
      <c r="G3" s="8">
        <f>(B3/D3)*2</f>
        <v>3211.483870967742</v>
      </c>
    </row>
    <row r="4" spans="1:8" x14ac:dyDescent="0.25">
      <c r="A4" s="11">
        <v>45597</v>
      </c>
      <c r="B4" s="5">
        <v>10274</v>
      </c>
      <c r="C4" s="5">
        <v>19650</v>
      </c>
      <c r="D4" s="8">
        <v>30</v>
      </c>
      <c r="E4" s="8">
        <f>C4/B4</f>
        <v>1.912594899746934</v>
      </c>
      <c r="F4" s="8">
        <f>B4/(D4/E4)</f>
        <v>655</v>
      </c>
      <c r="G4" s="8">
        <f>(B4/D4)*2</f>
        <v>684.93333333333328</v>
      </c>
    </row>
    <row r="6" spans="1:8" ht="30" x14ac:dyDescent="0.25">
      <c r="A6" s="5" t="s">
        <v>94</v>
      </c>
      <c r="B6" s="5" t="s">
        <v>40</v>
      </c>
      <c r="C6" s="5" t="s">
        <v>95</v>
      </c>
      <c r="D6" s="19" t="s">
        <v>96</v>
      </c>
      <c r="E6" s="7" t="s">
        <v>97</v>
      </c>
      <c r="F6" s="7" t="s">
        <v>98</v>
      </c>
      <c r="G6" s="7" t="s">
        <v>99</v>
      </c>
      <c r="H6" s="7" t="s">
        <v>122</v>
      </c>
    </row>
    <row r="7" spans="1:8" x14ac:dyDescent="0.25">
      <c r="A7" s="33" t="s">
        <v>90</v>
      </c>
      <c r="B7" s="23">
        <v>45323</v>
      </c>
      <c r="C7" s="5">
        <v>7607</v>
      </c>
      <c r="D7" s="5">
        <v>33359</v>
      </c>
      <c r="E7" s="8">
        <f>D7/C7</f>
        <v>4.3853030103851713</v>
      </c>
      <c r="F7" s="8">
        <f>C7/(29/E7)</f>
        <v>1150.3103448275861</v>
      </c>
      <c r="G7" s="8">
        <f>(C7/29)*2</f>
        <v>524.62068965517244</v>
      </c>
      <c r="H7" s="8">
        <f>G7/2</f>
        <v>262.31034482758622</v>
      </c>
    </row>
    <row r="8" spans="1:8" x14ac:dyDescent="0.25">
      <c r="A8" s="33"/>
      <c r="B8" s="23">
        <v>45505</v>
      </c>
      <c r="C8" s="5">
        <v>7347</v>
      </c>
      <c r="D8" s="5">
        <v>28885</v>
      </c>
      <c r="E8" s="8">
        <f t="shared" ref="E8:E18" si="0">D8/C8</f>
        <v>3.931536681638764</v>
      </c>
      <c r="F8" s="8">
        <f>C8/(31/E8)</f>
        <v>931.77419354838707</v>
      </c>
      <c r="G8" s="8">
        <f>(C8/31)*2</f>
        <v>474</v>
      </c>
      <c r="H8" s="8">
        <f t="shared" ref="H8:H18" si="1">G8/2</f>
        <v>237</v>
      </c>
    </row>
    <row r="9" spans="1:8" x14ac:dyDescent="0.25">
      <c r="A9" s="33"/>
      <c r="B9" s="23">
        <v>45597</v>
      </c>
      <c r="C9" s="5">
        <v>455</v>
      </c>
      <c r="D9" s="5">
        <v>906</v>
      </c>
      <c r="E9" s="8">
        <f t="shared" si="0"/>
        <v>1.9912087912087912</v>
      </c>
      <c r="F9" s="8">
        <f>C9/(30/E9)</f>
        <v>30.2</v>
      </c>
      <c r="G9" s="8">
        <f>(C9/30)*2</f>
        <v>30.333333333333332</v>
      </c>
      <c r="H9" s="8">
        <f t="shared" si="1"/>
        <v>15.166666666666666</v>
      </c>
    </row>
    <row r="10" spans="1:8" x14ac:dyDescent="0.25">
      <c r="A10" s="33" t="s">
        <v>91</v>
      </c>
      <c r="B10" s="23">
        <v>45323</v>
      </c>
      <c r="C10" s="5">
        <v>3610</v>
      </c>
      <c r="D10" s="5">
        <v>13348</v>
      </c>
      <c r="E10" s="8">
        <f t="shared" si="0"/>
        <v>3.6975069252077564</v>
      </c>
      <c r="F10" s="8">
        <f t="shared" ref="F10:F16" si="2">C10/(29/E10)</f>
        <v>460.27586206896552</v>
      </c>
      <c r="G10" s="8">
        <f t="shared" ref="G10:G16" si="3">(C10/29)*2</f>
        <v>248.9655172413793</v>
      </c>
      <c r="H10" s="8">
        <f t="shared" si="1"/>
        <v>124.48275862068965</v>
      </c>
    </row>
    <row r="11" spans="1:8" x14ac:dyDescent="0.25">
      <c r="A11" s="33"/>
      <c r="B11" s="23">
        <v>45505</v>
      </c>
      <c r="C11" s="5">
        <v>3403</v>
      </c>
      <c r="D11" s="5">
        <v>10514</v>
      </c>
      <c r="E11" s="8">
        <f t="shared" si="0"/>
        <v>3.0896267998824567</v>
      </c>
      <c r="F11" s="8">
        <f>C11/(31/E11)</f>
        <v>339.16129032258067</v>
      </c>
      <c r="G11" s="8">
        <f>(C11/31)*2</f>
        <v>219.54838709677421</v>
      </c>
      <c r="H11" s="8">
        <f t="shared" si="1"/>
        <v>109.7741935483871</v>
      </c>
    </row>
    <row r="12" spans="1:8" x14ac:dyDescent="0.25">
      <c r="A12" s="33"/>
      <c r="B12" s="23">
        <v>45597</v>
      </c>
      <c r="C12" s="5">
        <v>945</v>
      </c>
      <c r="D12" s="5">
        <v>2224</v>
      </c>
      <c r="E12" s="8">
        <f t="shared" si="0"/>
        <v>2.3534391534391532</v>
      </c>
      <c r="F12" s="8">
        <f>C12/(30/E12)</f>
        <v>74.133333333333326</v>
      </c>
      <c r="G12" s="8">
        <f>(C12/30)*2</f>
        <v>63</v>
      </c>
      <c r="H12" s="8">
        <f t="shared" si="1"/>
        <v>31.5</v>
      </c>
    </row>
    <row r="13" spans="1:8" x14ac:dyDescent="0.25">
      <c r="A13" s="33" t="s">
        <v>92</v>
      </c>
      <c r="B13" s="23">
        <v>45323</v>
      </c>
      <c r="C13" s="5">
        <v>2225</v>
      </c>
      <c r="D13" s="5">
        <v>6692</v>
      </c>
      <c r="E13" s="8">
        <f t="shared" si="0"/>
        <v>3.0076404494382021</v>
      </c>
      <c r="F13" s="8">
        <f t="shared" si="2"/>
        <v>230.75862068965515</v>
      </c>
      <c r="G13" s="8">
        <f t="shared" si="3"/>
        <v>153.44827586206895</v>
      </c>
      <c r="H13" s="8">
        <f t="shared" si="1"/>
        <v>76.724137931034477</v>
      </c>
    </row>
    <row r="14" spans="1:8" x14ac:dyDescent="0.25">
      <c r="A14" s="33"/>
      <c r="B14" s="23">
        <v>45505</v>
      </c>
      <c r="C14" s="5">
        <v>4315</v>
      </c>
      <c r="D14" s="5">
        <v>10753</v>
      </c>
      <c r="E14" s="8">
        <f t="shared" si="0"/>
        <v>2.4920046349942062</v>
      </c>
      <c r="F14" s="8">
        <f>C14/(31/E14)</f>
        <v>346.87096774193549</v>
      </c>
      <c r="G14" s="8">
        <f>(C14/31)*2</f>
        <v>278.38709677419354</v>
      </c>
      <c r="H14" s="8">
        <f t="shared" si="1"/>
        <v>139.19354838709677</v>
      </c>
    </row>
    <row r="15" spans="1:8" x14ac:dyDescent="0.25">
      <c r="A15" s="33"/>
      <c r="B15" s="23">
        <v>45597</v>
      </c>
      <c r="C15" s="5">
        <v>193</v>
      </c>
      <c r="D15" s="5">
        <v>427</v>
      </c>
      <c r="E15" s="8">
        <f t="shared" si="0"/>
        <v>2.2124352331606216</v>
      </c>
      <c r="F15" s="8">
        <f>C15/(30/E15)</f>
        <v>14.233333333333333</v>
      </c>
      <c r="G15" s="8">
        <f>(C15/30)*2</f>
        <v>12.866666666666667</v>
      </c>
      <c r="H15" s="8">
        <f t="shared" si="1"/>
        <v>6.4333333333333336</v>
      </c>
    </row>
    <row r="16" spans="1:8" x14ac:dyDescent="0.25">
      <c r="A16" s="33" t="s">
        <v>93</v>
      </c>
      <c r="B16" s="23">
        <v>45323</v>
      </c>
      <c r="C16" s="5">
        <v>29335</v>
      </c>
      <c r="D16" s="5">
        <v>112114</v>
      </c>
      <c r="E16" s="8">
        <f t="shared" si="0"/>
        <v>3.8218510311914096</v>
      </c>
      <c r="F16" s="8">
        <f t="shared" si="2"/>
        <v>3866</v>
      </c>
      <c r="G16" s="8">
        <f t="shared" si="3"/>
        <v>2023.1034482758621</v>
      </c>
      <c r="H16" s="8">
        <f t="shared" si="1"/>
        <v>1011.551724137931</v>
      </c>
    </row>
    <row r="17" spans="1:10" x14ac:dyDescent="0.25">
      <c r="A17" s="33"/>
      <c r="B17" s="23">
        <v>45505</v>
      </c>
      <c r="C17" s="5">
        <v>34713</v>
      </c>
      <c r="D17" s="5">
        <v>86887</v>
      </c>
      <c r="E17" s="8">
        <f t="shared" si="0"/>
        <v>2.5030103995621236</v>
      </c>
      <c r="F17" s="8">
        <f>C17/(31/E17)</f>
        <v>2802.8064516129029</v>
      </c>
      <c r="G17" s="8">
        <f>(C17/31)*2</f>
        <v>2239.5483870967741</v>
      </c>
      <c r="H17" s="8">
        <f t="shared" si="1"/>
        <v>1119.7741935483871</v>
      </c>
    </row>
    <row r="18" spans="1:10" x14ac:dyDescent="0.25">
      <c r="A18" s="33"/>
      <c r="B18" s="23">
        <v>45597</v>
      </c>
      <c r="C18" s="5">
        <v>8681</v>
      </c>
      <c r="D18" s="5">
        <v>16093</v>
      </c>
      <c r="E18" s="8">
        <f t="shared" si="0"/>
        <v>1.8538186844833544</v>
      </c>
      <c r="F18" s="8">
        <f>C18/(30/E18)</f>
        <v>536.43333333333328</v>
      </c>
      <c r="G18" s="8">
        <f>(C18/30)*2</f>
        <v>578.73333333333335</v>
      </c>
      <c r="H18" s="8">
        <f t="shared" si="1"/>
        <v>289.36666666666667</v>
      </c>
    </row>
    <row r="20" spans="1:10" ht="30" x14ac:dyDescent="0.25">
      <c r="C20" s="7" t="s">
        <v>86</v>
      </c>
      <c r="D20" s="25" t="s">
        <v>101</v>
      </c>
      <c r="E20" s="5" t="s">
        <v>102</v>
      </c>
      <c r="F20" s="5" t="s">
        <v>104</v>
      </c>
      <c r="G20" s="5" t="s">
        <v>120</v>
      </c>
      <c r="H20" s="5" t="s">
        <v>121</v>
      </c>
      <c r="I20" s="5" t="s">
        <v>131</v>
      </c>
      <c r="J20" s="5" t="s">
        <v>132</v>
      </c>
    </row>
    <row r="21" spans="1:10" x14ac:dyDescent="0.25">
      <c r="C21" s="12">
        <v>0.3</v>
      </c>
      <c r="D21" s="20">
        <v>0.15</v>
      </c>
      <c r="E21" s="12">
        <v>0.7</v>
      </c>
      <c r="F21" s="12">
        <v>0.3</v>
      </c>
      <c r="G21" s="12">
        <v>0.5</v>
      </c>
      <c r="H21" s="12">
        <v>0.5</v>
      </c>
      <c r="I21" s="12">
        <v>0.3</v>
      </c>
      <c r="J21" s="12">
        <v>0.7</v>
      </c>
    </row>
    <row r="22" spans="1:10" ht="30" customHeight="1" x14ac:dyDescent="0.25">
      <c r="A22" s="5" t="s">
        <v>94</v>
      </c>
      <c r="B22" s="24" t="s">
        <v>40</v>
      </c>
      <c r="C22" s="7" t="s">
        <v>100</v>
      </c>
      <c r="D22" s="7" t="s">
        <v>144</v>
      </c>
      <c r="E22" s="7" t="s">
        <v>139</v>
      </c>
      <c r="F22" s="7" t="s">
        <v>141</v>
      </c>
      <c r="G22" s="7" t="s">
        <v>140</v>
      </c>
      <c r="H22" s="7" t="s">
        <v>142</v>
      </c>
      <c r="I22" s="7" t="s">
        <v>137</v>
      </c>
      <c r="J22" s="7" t="s">
        <v>138</v>
      </c>
    </row>
    <row r="23" spans="1:10" x14ac:dyDescent="0.25">
      <c r="A23" s="33" t="s">
        <v>90</v>
      </c>
      <c r="B23" s="23">
        <v>45323</v>
      </c>
      <c r="C23" s="8">
        <f>H7*C$21</f>
        <v>78.693103448275863</v>
      </c>
      <c r="D23" s="12">
        <v>0.05</v>
      </c>
      <c r="E23" s="8">
        <f>((F7*2)*$E$21*($D$23))/2</f>
        <v>40.260862068965508</v>
      </c>
      <c r="F23" s="8">
        <f>((F7*2)*$F$21*$D$21)/2/5</f>
        <v>10.352793103448274</v>
      </c>
      <c r="G23" s="8"/>
      <c r="H23" s="8"/>
      <c r="I23" s="8"/>
      <c r="J23" s="8"/>
    </row>
    <row r="24" spans="1:10" x14ac:dyDescent="0.25">
      <c r="A24" s="33"/>
      <c r="B24" s="23">
        <v>45505</v>
      </c>
      <c r="C24" s="8">
        <f t="shared" ref="C24:C34" si="4">H8*C$21</f>
        <v>71.099999999999994</v>
      </c>
      <c r="E24" s="8"/>
      <c r="F24" s="8"/>
      <c r="G24" s="8">
        <f>(((F8-H8)*4+H8*2)*$G$21*$D$21)/2/7</f>
        <v>17.427304147465438</v>
      </c>
      <c r="H24" s="8">
        <f>(((F8-H8)*4+H8*2)*$H$21*$D$21)/2/5</f>
        <v>24.398225806451613</v>
      </c>
      <c r="I24" s="8"/>
      <c r="J24" s="8"/>
    </row>
    <row r="25" spans="1:10" x14ac:dyDescent="0.25">
      <c r="A25" s="33"/>
      <c r="B25" s="23">
        <v>45597</v>
      </c>
      <c r="C25" s="8">
        <f t="shared" si="4"/>
        <v>4.55</v>
      </c>
      <c r="E25" s="8"/>
      <c r="F25" s="8"/>
      <c r="G25" s="8"/>
      <c r="H25" s="8"/>
      <c r="I25" s="8">
        <f>((F9*2)*$I$21*$D$21)/2/4</f>
        <v>0.33974999999999994</v>
      </c>
      <c r="J25" s="8">
        <f t="shared" ref="J25:J31" si="5">((F9*2)*$J$21*$D$21)/2/5</f>
        <v>0.63419999999999987</v>
      </c>
    </row>
    <row r="26" spans="1:10" x14ac:dyDescent="0.25">
      <c r="A26" s="33" t="s">
        <v>91</v>
      </c>
      <c r="B26" s="23">
        <v>45323</v>
      </c>
      <c r="C26" s="8">
        <f t="shared" si="4"/>
        <v>37.344827586206897</v>
      </c>
      <c r="E26" s="8">
        <f>((F10*2)*$E$21*($D$23)/2)</f>
        <v>16.109655172413792</v>
      </c>
      <c r="F26" s="8">
        <f t="shared" ref="F26:F32" si="6">((F10*2)*$F$21*$D$21)/2/5</f>
        <v>4.1424827586206892</v>
      </c>
      <c r="G26" s="8"/>
      <c r="H26" s="8"/>
      <c r="I26" s="8"/>
      <c r="J26" s="8"/>
    </row>
    <row r="27" spans="1:10" x14ac:dyDescent="0.25">
      <c r="A27" s="33"/>
      <c r="B27" s="23">
        <v>45505</v>
      </c>
      <c r="C27" s="8">
        <f t="shared" si="4"/>
        <v>32.932258064516127</v>
      </c>
      <c r="E27" s="8"/>
      <c r="F27" s="8"/>
      <c r="G27" s="8">
        <f>(((F11-H11)*4+H11*2)*$G$21*$D$21)/2/7</f>
        <v>6.091589861751153</v>
      </c>
      <c r="H27" s="8">
        <f>(((F11-H11)*4+H11*2)*$H$21*$D$21)/2/5</f>
        <v>8.5282258064516139</v>
      </c>
      <c r="I27" s="8"/>
      <c r="J27" s="8"/>
    </row>
    <row r="28" spans="1:10" x14ac:dyDescent="0.25">
      <c r="A28" s="33"/>
      <c r="B28" s="23">
        <v>45597</v>
      </c>
      <c r="C28" s="8">
        <f t="shared" si="4"/>
        <v>9.4499999999999993</v>
      </c>
      <c r="E28" s="8"/>
      <c r="F28" s="8"/>
      <c r="G28" s="8"/>
      <c r="H28" s="8"/>
      <c r="I28" s="8">
        <f>((F12*2)*$I$21*$D$21)/2/4</f>
        <v>0.83399999999999996</v>
      </c>
      <c r="J28" s="8">
        <f t="shared" si="5"/>
        <v>1.5567999999999995</v>
      </c>
    </row>
    <row r="29" spans="1:10" x14ac:dyDescent="0.25">
      <c r="A29" s="33" t="s">
        <v>92</v>
      </c>
      <c r="B29" s="23">
        <v>45323</v>
      </c>
      <c r="C29" s="8">
        <f t="shared" si="4"/>
        <v>23.017241379310342</v>
      </c>
      <c r="E29" s="8">
        <f>((F13*2)*$E$21*($D$23))/2</f>
        <v>8.0765517241379303</v>
      </c>
      <c r="F29" s="8">
        <f t="shared" si="6"/>
        <v>2.0768275862068966</v>
      </c>
      <c r="G29" s="8"/>
      <c r="H29" s="8"/>
      <c r="I29" s="8"/>
      <c r="J29" s="8"/>
    </row>
    <row r="30" spans="1:10" x14ac:dyDescent="0.25">
      <c r="A30" s="33"/>
      <c r="B30" s="23">
        <v>45505</v>
      </c>
      <c r="C30" s="8">
        <f t="shared" si="4"/>
        <v>41.758064516129032</v>
      </c>
      <c r="E30" s="8"/>
      <c r="F30" s="8"/>
      <c r="G30" s="8">
        <f>(((F14-H14)*4+H14*2)*$G$21*$D$21)/2/7</f>
        <v>5.9415898617511518</v>
      </c>
      <c r="H30" s="8">
        <f>(((F14-H14)*4+H14*2)*$H$21*$D$21)/2/5</f>
        <v>8.3182258064516112</v>
      </c>
      <c r="I30" s="8"/>
      <c r="J30" s="8"/>
    </row>
    <row r="31" spans="1:10" x14ac:dyDescent="0.25">
      <c r="A31" s="33"/>
      <c r="B31" s="23">
        <v>45597</v>
      </c>
      <c r="C31" s="8">
        <f t="shared" si="4"/>
        <v>1.93</v>
      </c>
      <c r="E31" s="8"/>
      <c r="F31" s="8"/>
      <c r="G31" s="8"/>
      <c r="H31" s="8"/>
      <c r="I31" s="8">
        <f t="shared" ref="I31" si="7">((F15*2)*$I$21*$D$21)/2/4</f>
        <v>0.16012499999999999</v>
      </c>
      <c r="J31" s="8">
        <f t="shared" si="5"/>
        <v>0.2989</v>
      </c>
    </row>
    <row r="32" spans="1:10" x14ac:dyDescent="0.25">
      <c r="A32" s="33" t="s">
        <v>93</v>
      </c>
      <c r="B32" s="23">
        <v>45323</v>
      </c>
      <c r="C32" s="8">
        <f t="shared" si="4"/>
        <v>303.4655172413793</v>
      </c>
      <c r="E32" s="8">
        <f>((F16*2)*$E$21*($D$23))/2</f>
        <v>135.31</v>
      </c>
      <c r="F32" s="8">
        <f t="shared" si="6"/>
        <v>34.793999999999997</v>
      </c>
      <c r="G32" s="8"/>
      <c r="H32" s="8"/>
      <c r="I32" s="8"/>
      <c r="J32" s="8"/>
    </row>
    <row r="33" spans="1:10" x14ac:dyDescent="0.25">
      <c r="A33" s="33"/>
      <c r="B33" s="23">
        <v>45505</v>
      </c>
      <c r="C33" s="8">
        <f t="shared" si="4"/>
        <v>335.93225806451613</v>
      </c>
      <c r="E33" s="8"/>
      <c r="F33" s="8"/>
      <c r="G33" s="8">
        <f>(((F17-H17)*4+H17*2)*$G$21*$D$21)/2/7</f>
        <v>48.062557603686628</v>
      </c>
      <c r="H33" s="8">
        <f>(((F17-H17)*4+H17*2)*$H$21*$D$21)/2/5</f>
        <v>67.287580645161285</v>
      </c>
      <c r="I33" s="8"/>
      <c r="J33" s="8"/>
    </row>
    <row r="34" spans="1:10" x14ac:dyDescent="0.25">
      <c r="A34" s="33"/>
      <c r="B34" s="23">
        <v>45597</v>
      </c>
      <c r="C34" s="8">
        <f t="shared" si="4"/>
        <v>86.81</v>
      </c>
      <c r="E34" s="8"/>
      <c r="F34" s="8"/>
      <c r="G34" s="8"/>
      <c r="H34" s="8"/>
      <c r="I34" s="8">
        <f>((F18*2)*$I$21*$D$21)/2/4</f>
        <v>6.0348749999999987</v>
      </c>
      <c r="J34" s="8">
        <f>((F18*2)*$J$21*$D$21)/2/5</f>
        <v>11.265099999999999</v>
      </c>
    </row>
    <row r="37" spans="1:10" x14ac:dyDescent="0.25">
      <c r="A37" s="5" t="s">
        <v>40</v>
      </c>
      <c r="B37" s="5" t="s">
        <v>136</v>
      </c>
    </row>
    <row r="38" spans="1:10" x14ac:dyDescent="0.25">
      <c r="A38" s="11">
        <v>45323</v>
      </c>
      <c r="B38" s="8">
        <f>(40+16+8+135)*2+(10+4+2+35)*5*2+(79+37+23+303)*2</f>
        <v>1792</v>
      </c>
    </row>
    <row r="39" spans="1:10" x14ac:dyDescent="0.25">
      <c r="A39" s="11">
        <v>45505</v>
      </c>
      <c r="B39" s="8">
        <f>(17+6+6+48)*4*2+(24+9+8+67)*5*2+(71+33+42+336)*2</f>
        <v>2660</v>
      </c>
    </row>
    <row r="40" spans="1:10" x14ac:dyDescent="0.25">
      <c r="A40" s="11">
        <v>45597</v>
      </c>
      <c r="B40" s="8">
        <f>(6+1+1+1)*4*2+(11+1+2+1)*5*2+(5+9+2+87)*2</f>
        <v>428</v>
      </c>
    </row>
  </sheetData>
  <mergeCells count="8">
    <mergeCell ref="A29:A31"/>
    <mergeCell ref="A32:A34"/>
    <mergeCell ref="A23:A25"/>
    <mergeCell ref="A26:A28"/>
    <mergeCell ref="A7:A9"/>
    <mergeCell ref="A10:A12"/>
    <mergeCell ref="A13:A15"/>
    <mergeCell ref="A16:A1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62C8-1084-46D1-B54F-AB3ED8FEBD7A}">
  <dimension ref="A1:E46"/>
  <sheetViews>
    <sheetView workbookViewId="0">
      <selection activeCell="B22" sqref="B22"/>
    </sheetView>
  </sheetViews>
  <sheetFormatPr baseColWidth="10" defaultRowHeight="15" x14ac:dyDescent="0.25"/>
  <cols>
    <col min="2" max="2" width="25.28515625" style="4" customWidth="1"/>
    <col min="3" max="3" width="23.85546875" bestFit="1" customWidth="1"/>
    <col min="4" max="4" width="25.140625" bestFit="1" customWidth="1"/>
    <col min="5" max="5" width="25" bestFit="1" customWidth="1"/>
  </cols>
  <sheetData>
    <row r="1" spans="1:5" x14ac:dyDescent="0.25">
      <c r="B1" s="34" t="s">
        <v>37</v>
      </c>
      <c r="C1" s="34"/>
      <c r="D1" s="34"/>
      <c r="E1" s="34"/>
    </row>
    <row r="2" spans="1:5" ht="30" x14ac:dyDescent="0.25">
      <c r="A2" s="5"/>
      <c r="B2" s="7" t="s">
        <v>33</v>
      </c>
      <c r="C2" s="7" t="s">
        <v>34</v>
      </c>
      <c r="D2" s="7" t="s">
        <v>35</v>
      </c>
      <c r="E2" s="7" t="s">
        <v>36</v>
      </c>
    </row>
    <row r="3" spans="1:5" x14ac:dyDescent="0.25">
      <c r="A3" s="11" t="s">
        <v>21</v>
      </c>
      <c r="B3" s="14">
        <v>226054</v>
      </c>
      <c r="C3" s="6">
        <f t="shared" ref="C3:C14" si="0">B3/SUM($B$3:$B$14)</f>
        <v>0.13006978360637628</v>
      </c>
      <c r="D3" s="8">
        <f>$B$6</f>
        <v>43423</v>
      </c>
      <c r="E3" s="6">
        <f t="shared" ref="E3:E14" si="1">D3/SUM($D$3:$D$14)</f>
        <v>4.1168919328903854E-2</v>
      </c>
    </row>
    <row r="4" spans="1:5" x14ac:dyDescent="0.25">
      <c r="A4" s="11" t="s">
        <v>22</v>
      </c>
      <c r="B4" s="14">
        <v>254496</v>
      </c>
      <c r="C4" s="6">
        <f t="shared" si="0"/>
        <v>0.14643509802387189</v>
      </c>
      <c r="D4" s="8">
        <f>$B$6</f>
        <v>43423</v>
      </c>
      <c r="E4" s="6">
        <f t="shared" si="1"/>
        <v>4.1168919328903854E-2</v>
      </c>
    </row>
    <row r="5" spans="1:5" x14ac:dyDescent="0.25">
      <c r="A5" s="11" t="s">
        <v>23</v>
      </c>
      <c r="B5" s="14">
        <v>194441</v>
      </c>
      <c r="C5" s="6">
        <f t="shared" si="0"/>
        <v>0.11187989946741667</v>
      </c>
      <c r="D5" s="8">
        <f>$B$6</f>
        <v>43423</v>
      </c>
      <c r="E5" s="6">
        <f t="shared" si="1"/>
        <v>4.1168919328903854E-2</v>
      </c>
    </row>
    <row r="6" spans="1:5" x14ac:dyDescent="0.25">
      <c r="A6" s="11" t="s">
        <v>24</v>
      </c>
      <c r="B6" s="14">
        <v>43423</v>
      </c>
      <c r="C6" s="6">
        <f t="shared" si="0"/>
        <v>2.4985269951160682E-2</v>
      </c>
      <c r="D6" s="8">
        <f>$B$6</f>
        <v>43423</v>
      </c>
      <c r="E6" s="6">
        <f t="shared" si="1"/>
        <v>4.1168919328903854E-2</v>
      </c>
    </row>
    <row r="7" spans="1:5" x14ac:dyDescent="0.25">
      <c r="A7" s="11" t="s">
        <v>25</v>
      </c>
      <c r="B7" s="14">
        <v>40450</v>
      </c>
      <c r="C7" s="6">
        <f t="shared" si="0"/>
        <v>2.3274627951188301E-2</v>
      </c>
      <c r="D7" s="8">
        <f>B7</f>
        <v>40450</v>
      </c>
      <c r="E7" s="6">
        <f t="shared" si="1"/>
        <v>3.8350247261915597E-2</v>
      </c>
    </row>
    <row r="8" spans="1:5" x14ac:dyDescent="0.25">
      <c r="A8" s="11" t="s">
        <v>26</v>
      </c>
      <c r="B8" s="14">
        <v>111268</v>
      </c>
      <c r="C8" s="6">
        <f t="shared" si="0"/>
        <v>6.4022776338017798E-2</v>
      </c>
      <c r="D8" s="8">
        <f t="shared" ref="D8:D13" si="2">B8</f>
        <v>111268</v>
      </c>
      <c r="E8" s="6">
        <f t="shared" si="1"/>
        <v>0.1054920967203665</v>
      </c>
    </row>
    <row r="9" spans="1:5" x14ac:dyDescent="0.25">
      <c r="A9" s="11" t="s">
        <v>27</v>
      </c>
      <c r="B9" s="14">
        <v>196361</v>
      </c>
      <c r="C9" s="6">
        <f t="shared" si="0"/>
        <v>0.11298465313036554</v>
      </c>
      <c r="D9" s="8">
        <f t="shared" si="2"/>
        <v>196361</v>
      </c>
      <c r="E9" s="6">
        <f t="shared" si="1"/>
        <v>0.18616793331513001</v>
      </c>
    </row>
    <row r="10" spans="1:5" x14ac:dyDescent="0.25">
      <c r="A10" s="11" t="s">
        <v>28</v>
      </c>
      <c r="B10" s="14">
        <v>209937</v>
      </c>
      <c r="C10" s="6">
        <f t="shared" si="0"/>
        <v>0.12079618215546646</v>
      </c>
      <c r="D10" s="8">
        <f t="shared" si="2"/>
        <v>209937</v>
      </c>
      <c r="E10" s="6">
        <f t="shared" si="1"/>
        <v>0.19903920542459269</v>
      </c>
    </row>
    <row r="11" spans="1:5" x14ac:dyDescent="0.25">
      <c r="A11" s="11" t="s">
        <v>29</v>
      </c>
      <c r="B11" s="14">
        <v>137769</v>
      </c>
      <c r="C11" s="6">
        <f t="shared" si="0"/>
        <v>7.9271253849376042E-2</v>
      </c>
      <c r="D11" s="8">
        <f t="shared" si="2"/>
        <v>137769</v>
      </c>
      <c r="E11" s="6">
        <f t="shared" si="1"/>
        <v>0.13061743424046601</v>
      </c>
    </row>
    <row r="12" spans="1:5" x14ac:dyDescent="0.25">
      <c r="A12" s="11" t="s">
        <v>30</v>
      </c>
      <c r="B12" s="14">
        <v>107966</v>
      </c>
      <c r="C12" s="6">
        <f t="shared" si="0"/>
        <v>6.2122830194758866E-2</v>
      </c>
      <c r="D12" s="8">
        <f t="shared" si="2"/>
        <v>107966</v>
      </c>
      <c r="E12" s="6">
        <f t="shared" si="1"/>
        <v>0.1023615029883802</v>
      </c>
    </row>
    <row r="13" spans="1:5" x14ac:dyDescent="0.25">
      <c r="A13" s="11" t="s">
        <v>31</v>
      </c>
      <c r="B13" s="14">
        <v>36859</v>
      </c>
      <c r="C13" s="6">
        <f t="shared" si="0"/>
        <v>2.1208393365954255E-2</v>
      </c>
      <c r="D13" s="8">
        <f t="shared" si="2"/>
        <v>36859</v>
      </c>
      <c r="E13" s="6">
        <f t="shared" si="1"/>
        <v>3.4945655471617973E-2</v>
      </c>
    </row>
    <row r="14" spans="1:5" x14ac:dyDescent="0.25">
      <c r="A14" s="11" t="s">
        <v>32</v>
      </c>
      <c r="B14" s="14">
        <v>178920</v>
      </c>
      <c r="C14" s="6">
        <f t="shared" si="0"/>
        <v>0.10294923196604724</v>
      </c>
      <c r="D14" s="8">
        <f>B7</f>
        <v>40450</v>
      </c>
      <c r="E14" s="6">
        <f t="shared" si="1"/>
        <v>3.8350247261915597E-2</v>
      </c>
    </row>
    <row r="15" spans="1:5" x14ac:dyDescent="0.25">
      <c r="B15" s="15"/>
    </row>
    <row r="17" spans="1:5" x14ac:dyDescent="0.25">
      <c r="B17" s="34" t="s">
        <v>38</v>
      </c>
      <c r="C17" s="34"/>
      <c r="D17" s="34"/>
      <c r="E17" s="34"/>
    </row>
    <row r="18" spans="1:5" ht="30" x14ac:dyDescent="0.25">
      <c r="A18" s="5"/>
      <c r="B18" s="7" t="s">
        <v>33</v>
      </c>
      <c r="C18" s="7" t="s">
        <v>34</v>
      </c>
      <c r="D18" s="7" t="s">
        <v>35</v>
      </c>
      <c r="E18" s="7" t="s">
        <v>36</v>
      </c>
    </row>
    <row r="19" spans="1:5" x14ac:dyDescent="0.25">
      <c r="A19" s="11" t="s">
        <v>21</v>
      </c>
      <c r="B19" s="7">
        <v>221945</v>
      </c>
      <c r="C19" s="6">
        <f t="shared" ref="C19:C30" si="3">B19/SUM($B$3:$B$14)</f>
        <v>0.12770549568915915</v>
      </c>
      <c r="D19" s="7">
        <f>$B$22</f>
        <v>42774</v>
      </c>
      <c r="E19" s="6">
        <f t="shared" ref="E19:E30" si="4">D19/SUM($D$3:$D$14)</f>
        <v>4.0553608810412305E-2</v>
      </c>
    </row>
    <row r="20" spans="1:5" x14ac:dyDescent="0.25">
      <c r="A20" s="11" t="s">
        <v>22</v>
      </c>
      <c r="B20" s="14">
        <v>248763</v>
      </c>
      <c r="C20" s="6">
        <f t="shared" si="3"/>
        <v>0.1431363726334105</v>
      </c>
      <c r="D20" s="7">
        <f t="shared" ref="D20:D22" si="5">$B$22</f>
        <v>42774</v>
      </c>
      <c r="E20" s="6">
        <f t="shared" si="4"/>
        <v>4.0553608810412305E-2</v>
      </c>
    </row>
    <row r="21" spans="1:5" x14ac:dyDescent="0.25">
      <c r="A21" s="11" t="s">
        <v>23</v>
      </c>
      <c r="B21" s="14">
        <v>192009</v>
      </c>
      <c r="C21" s="6">
        <f t="shared" si="3"/>
        <v>0.11048054482768145</v>
      </c>
      <c r="D21" s="7">
        <f t="shared" si="5"/>
        <v>42774</v>
      </c>
      <c r="E21" s="6">
        <f t="shared" si="4"/>
        <v>4.0553608810412305E-2</v>
      </c>
    </row>
    <row r="22" spans="1:5" x14ac:dyDescent="0.25">
      <c r="A22" s="11" t="s">
        <v>24</v>
      </c>
      <c r="B22" s="7">
        <v>42774</v>
      </c>
      <c r="C22" s="6">
        <f t="shared" si="3"/>
        <v>2.4611840197382655E-2</v>
      </c>
      <c r="D22" s="7">
        <f t="shared" si="5"/>
        <v>42774</v>
      </c>
      <c r="E22" s="6">
        <f t="shared" si="4"/>
        <v>4.0553608810412305E-2</v>
      </c>
    </row>
    <row r="23" spans="1:5" x14ac:dyDescent="0.25">
      <c r="A23" s="11" t="s">
        <v>25</v>
      </c>
      <c r="B23" s="14">
        <v>40050</v>
      </c>
      <c r="C23" s="6">
        <f t="shared" si="3"/>
        <v>2.3044470938073953E-2</v>
      </c>
      <c r="D23" s="8">
        <f>B23</f>
        <v>40050</v>
      </c>
      <c r="E23" s="6">
        <f t="shared" si="4"/>
        <v>3.7971011195048691E-2</v>
      </c>
    </row>
    <row r="24" spans="1:5" x14ac:dyDescent="0.25">
      <c r="A24" s="11" t="s">
        <v>26</v>
      </c>
      <c r="B24" s="14">
        <v>109606</v>
      </c>
      <c r="C24" s="6">
        <f t="shared" si="3"/>
        <v>6.3066473948527685E-2</v>
      </c>
      <c r="D24" s="8">
        <f t="shared" ref="D24:D29" si="6">B24</f>
        <v>109606</v>
      </c>
      <c r="E24" s="6">
        <f t="shared" si="4"/>
        <v>0.10391637086253451</v>
      </c>
    </row>
    <row r="25" spans="1:5" x14ac:dyDescent="0.25">
      <c r="A25" s="11" t="s">
        <v>27</v>
      </c>
      <c r="B25" s="7">
        <v>193136</v>
      </c>
      <c r="C25" s="6">
        <f t="shared" si="3"/>
        <v>0.11112901221213112</v>
      </c>
      <c r="D25" s="8">
        <f t="shared" si="6"/>
        <v>193136</v>
      </c>
      <c r="E25" s="6">
        <f t="shared" si="4"/>
        <v>0.1831103425260156</v>
      </c>
    </row>
    <row r="26" spans="1:5" x14ac:dyDescent="0.25">
      <c r="A26" s="11" t="s">
        <v>28</v>
      </c>
      <c r="B26" s="14">
        <v>206231</v>
      </c>
      <c r="C26" s="6">
        <f t="shared" si="3"/>
        <v>0.11866377742896204</v>
      </c>
      <c r="D26" s="8">
        <f t="shared" si="6"/>
        <v>206231</v>
      </c>
      <c r="E26" s="6">
        <f t="shared" si="4"/>
        <v>0.19552558326507083</v>
      </c>
    </row>
    <row r="27" spans="1:5" x14ac:dyDescent="0.25">
      <c r="A27" s="11" t="s">
        <v>29</v>
      </c>
      <c r="B27" s="14">
        <v>135187</v>
      </c>
      <c r="C27" s="6">
        <f t="shared" si="3"/>
        <v>7.7785590329722931E-2</v>
      </c>
      <c r="D27" s="8">
        <f t="shared" si="6"/>
        <v>135187</v>
      </c>
      <c r="E27" s="6">
        <f t="shared" si="4"/>
        <v>0.12816946542884014</v>
      </c>
    </row>
    <row r="28" spans="1:5" x14ac:dyDescent="0.25">
      <c r="A28" s="11" t="s">
        <v>30</v>
      </c>
      <c r="B28" s="7">
        <v>106002</v>
      </c>
      <c r="C28" s="6">
        <f t="shared" si="3"/>
        <v>6.0992759260367423E-2</v>
      </c>
      <c r="D28" s="8">
        <f t="shared" si="6"/>
        <v>106002</v>
      </c>
      <c r="E28" s="6">
        <f t="shared" si="4"/>
        <v>0.10049945390006371</v>
      </c>
    </row>
    <row r="29" spans="1:5" x14ac:dyDescent="0.25">
      <c r="A29" s="11" t="s">
        <v>31</v>
      </c>
      <c r="B29" s="14">
        <v>36085</v>
      </c>
      <c r="C29" s="6">
        <f t="shared" si="3"/>
        <v>2.0763039545577993E-2</v>
      </c>
      <c r="D29" s="8">
        <f t="shared" si="6"/>
        <v>36085</v>
      </c>
      <c r="E29" s="6">
        <f t="shared" si="4"/>
        <v>3.4211833682230512E-2</v>
      </c>
    </row>
    <row r="30" spans="1:5" x14ac:dyDescent="0.25">
      <c r="A30" s="11" t="s">
        <v>32</v>
      </c>
      <c r="B30" s="14">
        <v>175932</v>
      </c>
      <c r="C30" s="6">
        <f t="shared" si="3"/>
        <v>0.10122995907808306</v>
      </c>
      <c r="D30" s="8">
        <f>B23</f>
        <v>40050</v>
      </c>
      <c r="E30" s="6">
        <f t="shared" si="4"/>
        <v>3.7971011195048691E-2</v>
      </c>
    </row>
    <row r="33" spans="1:5" x14ac:dyDescent="0.25">
      <c r="B33" s="34" t="s">
        <v>39</v>
      </c>
      <c r="C33" s="34"/>
      <c r="D33" s="34"/>
      <c r="E33" s="34"/>
    </row>
    <row r="34" spans="1:5" ht="30" x14ac:dyDescent="0.25">
      <c r="A34" s="5"/>
      <c r="B34" s="7" t="s">
        <v>33</v>
      </c>
      <c r="C34" s="7" t="s">
        <v>34</v>
      </c>
      <c r="D34" s="7" t="s">
        <v>35</v>
      </c>
      <c r="E34" s="7" t="s">
        <v>36</v>
      </c>
    </row>
    <row r="35" spans="1:5" x14ac:dyDescent="0.25">
      <c r="A35" s="11" t="s">
        <v>21</v>
      </c>
      <c r="B35" s="14">
        <v>150700</v>
      </c>
      <c r="C35" s="6">
        <f t="shared" ref="C35:C46" si="7">B35/SUM($B$3:$B$14)</f>
        <v>8.6711654690830087E-2</v>
      </c>
      <c r="D35" s="8">
        <f>$B$38</f>
        <v>30547</v>
      </c>
      <c r="E35" s="6">
        <f t="shared" ref="E35:E46" si="8">D35/SUM($D$3:$D$14)</f>
        <v>2.8961310336458237E-2</v>
      </c>
    </row>
    <row r="36" spans="1:5" x14ac:dyDescent="0.25">
      <c r="A36" s="11" t="s">
        <v>22</v>
      </c>
      <c r="B36" s="14">
        <v>165513</v>
      </c>
      <c r="C36" s="6">
        <f t="shared" si="7"/>
        <v>9.5234944278987127E-2</v>
      </c>
      <c r="D36" s="8">
        <f>$B$38</f>
        <v>30547</v>
      </c>
      <c r="E36" s="6">
        <f t="shared" si="8"/>
        <v>2.8961310336458237E-2</v>
      </c>
    </row>
    <row r="37" spans="1:5" x14ac:dyDescent="0.25">
      <c r="A37" s="11" t="s">
        <v>23</v>
      </c>
      <c r="B37" s="14">
        <v>130541</v>
      </c>
      <c r="C37" s="6">
        <f t="shared" si="7"/>
        <v>7.5112316622399797E-2</v>
      </c>
      <c r="D37" s="8">
        <f>$B$38</f>
        <v>30547</v>
      </c>
      <c r="E37" s="6">
        <f t="shared" si="8"/>
        <v>2.8961310336458237E-2</v>
      </c>
    </row>
    <row r="38" spans="1:5" x14ac:dyDescent="0.25">
      <c r="A38" s="11" t="s">
        <v>24</v>
      </c>
      <c r="B38" s="14">
        <v>30547</v>
      </c>
      <c r="C38" s="6">
        <f t="shared" si="7"/>
        <v>1.7576515699009865E-2</v>
      </c>
      <c r="D38" s="8">
        <f>$B$38</f>
        <v>30547</v>
      </c>
      <c r="E38" s="6">
        <f t="shared" si="8"/>
        <v>2.8961310336458237E-2</v>
      </c>
    </row>
    <row r="39" spans="1:5" x14ac:dyDescent="0.25">
      <c r="A39" s="11" t="s">
        <v>25</v>
      </c>
      <c r="B39" s="14">
        <v>31077</v>
      </c>
      <c r="C39" s="6">
        <f t="shared" si="7"/>
        <v>1.7881473741386374E-2</v>
      </c>
      <c r="D39" s="8">
        <f t="shared" ref="D39:D45" si="9">B39</f>
        <v>31077</v>
      </c>
      <c r="E39" s="6">
        <f t="shared" si="8"/>
        <v>2.9463798125056884E-2</v>
      </c>
    </row>
    <row r="40" spans="1:5" x14ac:dyDescent="0.25">
      <c r="A40" s="11" t="s">
        <v>26</v>
      </c>
      <c r="B40" s="14">
        <v>74324</v>
      </c>
      <c r="C40" s="6">
        <f t="shared" si="7"/>
        <v>4.2765474606776745E-2</v>
      </c>
      <c r="D40" s="8">
        <f t="shared" si="9"/>
        <v>74324</v>
      </c>
      <c r="E40" s="6">
        <f t="shared" si="8"/>
        <v>7.0465853584539301E-2</v>
      </c>
    </row>
    <row r="41" spans="1:5" x14ac:dyDescent="0.25">
      <c r="A41" s="11" t="s">
        <v>27</v>
      </c>
      <c r="B41" s="14">
        <v>127489</v>
      </c>
      <c r="C41" s="6">
        <f t="shared" si="7"/>
        <v>7.3356218612337334E-2</v>
      </c>
      <c r="D41" s="8">
        <f t="shared" si="9"/>
        <v>127489</v>
      </c>
      <c r="E41" s="6">
        <f t="shared" si="8"/>
        <v>0.12087106732198659</v>
      </c>
    </row>
    <row r="42" spans="1:5" x14ac:dyDescent="0.25">
      <c r="A42" s="11" t="s">
        <v>28</v>
      </c>
      <c r="B42" s="14">
        <v>137039</v>
      </c>
      <c r="C42" s="6">
        <f t="shared" si="7"/>
        <v>7.8851217300442367E-2</v>
      </c>
      <c r="D42" s="8">
        <f t="shared" si="9"/>
        <v>137039</v>
      </c>
      <c r="E42" s="6">
        <f t="shared" si="8"/>
        <v>0.12992532841843391</v>
      </c>
    </row>
    <row r="43" spans="1:5" x14ac:dyDescent="0.25">
      <c r="A43" s="11" t="s">
        <v>29</v>
      </c>
      <c r="B43" s="14">
        <v>84694</v>
      </c>
      <c r="C43" s="6">
        <f t="shared" si="7"/>
        <v>4.873229517176618E-2</v>
      </c>
      <c r="D43" s="8">
        <f t="shared" si="9"/>
        <v>84694</v>
      </c>
      <c r="E43" s="6">
        <f t="shared" si="8"/>
        <v>8.0297548618063777E-2</v>
      </c>
    </row>
    <row r="44" spans="1:5" x14ac:dyDescent="0.25">
      <c r="A44" s="11" t="s">
        <v>30</v>
      </c>
      <c r="B44" s="14">
        <v>58539</v>
      </c>
      <c r="C44" s="6">
        <f t="shared" si="7"/>
        <v>3.368290347675184E-2</v>
      </c>
      <c r="D44" s="8">
        <f t="shared" si="9"/>
        <v>58539</v>
      </c>
      <c r="E44" s="6">
        <f t="shared" si="8"/>
        <v>5.5500250295804132E-2</v>
      </c>
    </row>
    <row r="45" spans="1:5" x14ac:dyDescent="0.25">
      <c r="A45" s="11" t="s">
        <v>31</v>
      </c>
      <c r="B45" s="14">
        <v>19650</v>
      </c>
      <c r="C45" s="6">
        <f t="shared" si="7"/>
        <v>1.1306463269242277E-2</v>
      </c>
      <c r="D45" s="8">
        <f t="shared" si="9"/>
        <v>19650</v>
      </c>
      <c r="E45" s="6">
        <f t="shared" si="8"/>
        <v>1.8629971784836625E-2</v>
      </c>
    </row>
    <row r="46" spans="1:5" x14ac:dyDescent="0.25">
      <c r="A46" s="11" t="s">
        <v>32</v>
      </c>
      <c r="B46" s="14">
        <v>122149</v>
      </c>
      <c r="C46" s="6">
        <f t="shared" si="7"/>
        <v>7.0283622487260805E-2</v>
      </c>
      <c r="D46" s="8">
        <f>B39</f>
        <v>31077</v>
      </c>
      <c r="E46" s="6">
        <f t="shared" si="8"/>
        <v>2.9463798125056884E-2</v>
      </c>
    </row>
  </sheetData>
  <mergeCells count="3">
    <mergeCell ref="B1:E1"/>
    <mergeCell ref="B17:E17"/>
    <mergeCell ref="B33:E3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C633-EC64-42CA-9BBB-DAA5AB530701}">
  <dimension ref="A1:F15"/>
  <sheetViews>
    <sheetView workbookViewId="0">
      <selection activeCell="F33" sqref="F33"/>
    </sheetView>
  </sheetViews>
  <sheetFormatPr baseColWidth="10" defaultRowHeight="15" x14ac:dyDescent="0.25"/>
  <cols>
    <col min="1" max="1" width="13.140625" bestFit="1" customWidth="1"/>
    <col min="2" max="2" width="35.5703125" bestFit="1" customWidth="1"/>
    <col min="3" max="3" width="34.85546875" bestFit="1" customWidth="1"/>
    <col min="4" max="4" width="46.28515625" bestFit="1" customWidth="1"/>
    <col min="5" max="5" width="36.7109375" bestFit="1" customWidth="1"/>
    <col min="6" max="6" width="39.42578125" bestFit="1" customWidth="1"/>
  </cols>
  <sheetData>
    <row r="1" spans="1:6" ht="30" customHeight="1" x14ac:dyDescent="0.25">
      <c r="A1" s="17" t="s">
        <v>40</v>
      </c>
      <c r="B1" s="7" t="s">
        <v>65</v>
      </c>
      <c r="C1" s="7" t="s">
        <v>66</v>
      </c>
      <c r="D1" s="7" t="s">
        <v>54</v>
      </c>
      <c r="E1" s="7" t="s">
        <v>53</v>
      </c>
      <c r="F1" s="7" t="s">
        <v>67</v>
      </c>
    </row>
    <row r="2" spans="1:6" x14ac:dyDescent="0.25">
      <c r="A2" s="11">
        <v>45323</v>
      </c>
      <c r="B2" s="8">
        <f>$B$12*($C$12/$D$12)*(B7/$C$12)</f>
        <v>19542.798080916054</v>
      </c>
      <c r="C2" s="8">
        <f>($B$15*($C$15/$D$15)*(C7/$C$15))</f>
        <v>131219.28369438881</v>
      </c>
      <c r="D2" s="16">
        <f t="shared" ref="D2:D3" si="0">C2/B2</f>
        <v>6.7144573234130247</v>
      </c>
      <c r="E2" s="8">
        <f>B2/(29/D2)</f>
        <v>4524.8028860134073</v>
      </c>
      <c r="F2" s="8">
        <f>(B2/29)*2</f>
        <v>1347.7791779942106</v>
      </c>
    </row>
    <row r="3" spans="1:6" x14ac:dyDescent="0.25">
      <c r="A3" s="11">
        <v>45505</v>
      </c>
      <c r="B3" s="8">
        <f>$B$12*($C$12/$D$12)*(B8/$C$12)</f>
        <v>21444.20842822835</v>
      </c>
      <c r="C3" s="8">
        <f>($B$15*($C$15/$D$15)*(C8/$C$15))</f>
        <v>108244.46262789553</v>
      </c>
      <c r="D3" s="16">
        <f t="shared" si="0"/>
        <v>5.047724796659157</v>
      </c>
      <c r="E3" s="8">
        <f>B3/(31/D3)</f>
        <v>3491.7568589643715</v>
      </c>
      <c r="F3" s="8">
        <f>(B3/31)*2</f>
        <v>1383.4973179502163</v>
      </c>
    </row>
    <row r="4" spans="1:6" x14ac:dyDescent="0.25">
      <c r="A4" s="11">
        <v>45597</v>
      </c>
      <c r="B4" s="8">
        <f>$B$12*($C$12/$D$12)*(B9/$C$12)</f>
        <v>5176.3956344814578</v>
      </c>
      <c r="C4" s="8">
        <f>($B$15*($C$15/$D$15)*(C9/$C$15))</f>
        <v>19004.666390400937</v>
      </c>
      <c r="D4" s="16">
        <f>C4/B4</f>
        <v>3.6714091681488554</v>
      </c>
      <c r="E4" s="8">
        <f>B4/(30/D4)</f>
        <v>633.48887968003123</v>
      </c>
      <c r="F4" s="8">
        <f>(B4/30)*2</f>
        <v>345.09304229876386</v>
      </c>
    </row>
    <row r="6" spans="1:6" ht="30" x14ac:dyDescent="0.25">
      <c r="A6" s="17" t="s">
        <v>40</v>
      </c>
      <c r="B6" s="10" t="s">
        <v>64</v>
      </c>
      <c r="C6" s="10" t="s">
        <v>58</v>
      </c>
    </row>
    <row r="7" spans="1:6" x14ac:dyDescent="0.25">
      <c r="A7" s="11">
        <v>45323</v>
      </c>
      <c r="B7" s="5">
        <f>'hotel alldata'!B2</f>
        <v>68236</v>
      </c>
      <c r="C7" s="5">
        <f>'hotel alldata'!C2</f>
        <v>254496</v>
      </c>
    </row>
    <row r="8" spans="1:6" x14ac:dyDescent="0.25">
      <c r="A8" s="11">
        <v>45505</v>
      </c>
      <c r="B8" s="5">
        <f>'hotel alldata'!B3</f>
        <v>74875</v>
      </c>
      <c r="C8" s="5">
        <f>'hotel alldata'!C3</f>
        <v>209937</v>
      </c>
    </row>
    <row r="9" spans="1:6" x14ac:dyDescent="0.25">
      <c r="A9" s="11">
        <v>45597</v>
      </c>
      <c r="B9" s="5">
        <f>'hotel alldata'!B4</f>
        <v>18074</v>
      </c>
      <c r="C9" s="5">
        <f>'hotel alldata'!C4</f>
        <v>36859</v>
      </c>
    </row>
    <row r="11" spans="1:6" ht="30" x14ac:dyDescent="0.25">
      <c r="B11" s="7" t="s">
        <v>61</v>
      </c>
      <c r="C11" s="7" t="s">
        <v>62</v>
      </c>
      <c r="D11" s="7" t="s">
        <v>63</v>
      </c>
    </row>
    <row r="12" spans="1:6" x14ac:dyDescent="0.25">
      <c r="B12" s="16">
        <v>608858.57209999999</v>
      </c>
      <c r="C12" s="5">
        <v>608535</v>
      </c>
      <c r="D12" s="5">
        <v>2125902</v>
      </c>
    </row>
    <row r="14" spans="1:6" ht="30" customHeight="1" x14ac:dyDescent="0.25">
      <c r="B14" s="7" t="s">
        <v>43</v>
      </c>
      <c r="C14" s="7" t="s">
        <v>59</v>
      </c>
      <c r="D14" s="7" t="s">
        <v>60</v>
      </c>
    </row>
    <row r="15" spans="1:6" x14ac:dyDescent="0.25">
      <c r="B15" s="16">
        <v>2849765.6831999999</v>
      </c>
      <c r="C15" s="5">
        <v>1737944</v>
      </c>
      <c r="D15" s="5">
        <v>5527038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7308-2516-4208-9F1E-7A9624F98CF5}">
  <dimension ref="A1:F15"/>
  <sheetViews>
    <sheetView workbookViewId="0">
      <selection activeCell="B2" sqref="B2"/>
    </sheetView>
  </sheetViews>
  <sheetFormatPr baseColWidth="10" defaultRowHeight="15" x14ac:dyDescent="0.25"/>
  <cols>
    <col min="1" max="1" width="13.140625" bestFit="1" customWidth="1"/>
    <col min="2" max="2" width="35.5703125" bestFit="1" customWidth="1"/>
    <col min="3" max="3" width="34.85546875" bestFit="1" customWidth="1"/>
    <col min="4" max="4" width="46.28515625" bestFit="1" customWidth="1"/>
    <col min="5" max="5" width="36.7109375" bestFit="1" customWidth="1"/>
    <col min="6" max="6" width="39.42578125" bestFit="1" customWidth="1"/>
    <col min="8" max="11" width="11.42578125" customWidth="1"/>
  </cols>
  <sheetData>
    <row r="1" spans="1:6" ht="30" customHeight="1" x14ac:dyDescent="0.25">
      <c r="A1" s="17" t="s">
        <v>40</v>
      </c>
      <c r="B1" s="7" t="s">
        <v>65</v>
      </c>
      <c r="C1" s="7" t="s">
        <v>66</v>
      </c>
      <c r="D1" s="7" t="s">
        <v>54</v>
      </c>
      <c r="E1" s="7" t="s">
        <v>53</v>
      </c>
      <c r="F1" s="7" t="s">
        <v>67</v>
      </c>
    </row>
    <row r="2" spans="1:6" x14ac:dyDescent="0.25">
      <c r="A2" s="11">
        <v>45323</v>
      </c>
      <c r="B2" s="8">
        <f>$B$12*($C$12/$D$12)*(B7/$C$12)</f>
        <v>19104.892308805724</v>
      </c>
      <c r="C2" s="8">
        <f>($B$15*($C$15/$D$15)*(C7/$C$15))</f>
        <v>128263.32307646183</v>
      </c>
      <c r="D2" s="16">
        <f>C2/B2</f>
        <v>6.7136375857687192</v>
      </c>
      <c r="E2" s="8">
        <f>B2/(29/D2)</f>
        <v>4422.8732095331661</v>
      </c>
      <c r="F2" s="8">
        <f>(B2/29)*2</f>
        <v>1317.5787799176362</v>
      </c>
    </row>
    <row r="3" spans="1:6" x14ac:dyDescent="0.25">
      <c r="A3" s="11">
        <v>45505</v>
      </c>
      <c r="B3" s="8">
        <f>$B$12*($C$12/$D$12)*(B8/$C$12)</f>
        <v>20981.385846324949</v>
      </c>
      <c r="C3" s="8">
        <f>($B$15*($C$15/$D$15)*(C8/$C$15))</f>
        <v>106333.63233833731</v>
      </c>
      <c r="D3" s="16">
        <f t="shared" ref="D3" si="0">C3/B3</f>
        <v>5.0679985162639989</v>
      </c>
      <c r="E3" s="8">
        <f>B3/(31/D3)</f>
        <v>3430.1171722044292</v>
      </c>
      <c r="F3" s="8">
        <f>(B3/31)*2</f>
        <v>1353.6377965370934</v>
      </c>
    </row>
    <row r="4" spans="1:6" x14ac:dyDescent="0.25">
      <c r="A4" s="11">
        <v>45597</v>
      </c>
      <c r="B4" s="8">
        <f>$B$12*($C$12/$D$12)*(B9/$C$12)</f>
        <v>5076.728395309191</v>
      </c>
      <c r="C4" s="8">
        <f>($B$15*($C$15/$D$15)*(C9/$C$15))</f>
        <v>18605.588504778148</v>
      </c>
      <c r="D4" s="16">
        <f>C4/B4</f>
        <v>3.6648776645150822</v>
      </c>
      <c r="E4" s="8">
        <f>B4/(30/D4)</f>
        <v>620.18628349260496</v>
      </c>
      <c r="F4" s="8">
        <f>(B4/30)*2</f>
        <v>338.44855968727938</v>
      </c>
    </row>
    <row r="6" spans="1:6" ht="30" x14ac:dyDescent="0.25">
      <c r="A6" s="17" t="s">
        <v>40</v>
      </c>
      <c r="B6" s="10" t="s">
        <v>64</v>
      </c>
      <c r="C6" s="10" t="s">
        <v>58</v>
      </c>
    </row>
    <row r="7" spans="1:6" x14ac:dyDescent="0.25">
      <c r="A7" s="11">
        <v>45323</v>
      </c>
      <c r="B7" s="5">
        <f>'hotel studyarea'!B2</f>
        <v>66707</v>
      </c>
      <c r="C7" s="5">
        <f>'hotel studyarea'!C2</f>
        <v>248763</v>
      </c>
    </row>
    <row r="8" spans="1:6" x14ac:dyDescent="0.25">
      <c r="A8" s="11">
        <v>45505</v>
      </c>
      <c r="B8" s="5">
        <f>'hotel studyarea'!B3</f>
        <v>73259</v>
      </c>
      <c r="C8" s="5">
        <f>'hotel studyarea'!C3</f>
        <v>206231</v>
      </c>
    </row>
    <row r="9" spans="1:6" x14ac:dyDescent="0.25">
      <c r="A9" s="11">
        <v>45597</v>
      </c>
      <c r="B9" s="5">
        <f>'hotel studyarea'!B4</f>
        <v>17726</v>
      </c>
      <c r="C9" s="5">
        <f>'hotel studyarea'!C4</f>
        <v>36085</v>
      </c>
    </row>
    <row r="11" spans="1:6" ht="30" x14ac:dyDescent="0.25">
      <c r="B11" s="7" t="s">
        <v>61</v>
      </c>
      <c r="C11" s="7" t="s">
        <v>62</v>
      </c>
      <c r="D11" s="7" t="s">
        <v>63</v>
      </c>
    </row>
    <row r="12" spans="1:6" x14ac:dyDescent="0.25">
      <c r="B12" s="5">
        <v>608858.57209999999</v>
      </c>
      <c r="C12" s="5">
        <v>596520</v>
      </c>
      <c r="D12" s="5">
        <v>2125902</v>
      </c>
    </row>
    <row r="14" spans="1:6" ht="30" customHeight="1" x14ac:dyDescent="0.25">
      <c r="B14" s="7" t="s">
        <v>43</v>
      </c>
      <c r="C14" s="7" t="s">
        <v>59</v>
      </c>
      <c r="D14" s="7" t="s">
        <v>60</v>
      </c>
    </row>
    <row r="15" spans="1:6" x14ac:dyDescent="0.25">
      <c r="B15" s="5">
        <v>2849765.6831999999</v>
      </c>
      <c r="C15" s="5">
        <v>1707720</v>
      </c>
      <c r="D15" s="5">
        <v>5527038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B17E-7898-48B6-BD0B-0B9F3CF87173}">
  <dimension ref="A1:L36"/>
  <sheetViews>
    <sheetView topLeftCell="A5" workbookViewId="0">
      <selection activeCell="B35" sqref="B35"/>
    </sheetView>
  </sheetViews>
  <sheetFormatPr baseColWidth="10" defaultRowHeight="15" x14ac:dyDescent="0.25"/>
  <cols>
    <col min="1" max="1" width="18.85546875" bestFit="1" customWidth="1"/>
    <col min="2" max="2" width="35.5703125" bestFit="1" customWidth="1"/>
    <col min="3" max="3" width="34.85546875" bestFit="1" customWidth="1"/>
    <col min="4" max="4" width="46.28515625" bestFit="1" customWidth="1"/>
    <col min="5" max="5" width="36.7109375" bestFit="1" customWidth="1"/>
    <col min="6" max="6" width="39.42578125" bestFit="1" customWidth="1"/>
    <col min="7" max="7" width="36.140625" bestFit="1" customWidth="1"/>
    <col min="8" max="8" width="30.85546875" bestFit="1" customWidth="1"/>
    <col min="9" max="9" width="38.140625" bestFit="1" customWidth="1"/>
    <col min="10" max="10" width="32.85546875" bestFit="1" customWidth="1"/>
    <col min="11" max="11" width="40" bestFit="1" customWidth="1"/>
    <col min="12" max="12" width="27.7109375" bestFit="1" customWidth="1"/>
  </cols>
  <sheetData>
    <row r="1" spans="1:6" ht="30" customHeight="1" x14ac:dyDescent="0.25">
      <c r="A1" s="17" t="s">
        <v>40</v>
      </c>
      <c r="B1" s="7" t="s">
        <v>65</v>
      </c>
      <c r="C1" s="7" t="s">
        <v>66</v>
      </c>
      <c r="D1" s="7" t="s">
        <v>54</v>
      </c>
      <c r="E1" s="7" t="s">
        <v>53</v>
      </c>
      <c r="F1" s="7" t="s">
        <v>67</v>
      </c>
    </row>
    <row r="2" spans="1:6" x14ac:dyDescent="0.25">
      <c r="A2" s="11">
        <v>45323</v>
      </c>
      <c r="B2" s="8">
        <f>$B$12*($C$12/$D$12)*(B7/$C$12)</f>
        <v>12251.337615149569</v>
      </c>
      <c r="C2" s="8">
        <f>($B$15*($C$15/$D$15)*(C7/$C$15))</f>
        <v>85339.248169359707</v>
      </c>
      <c r="D2" s="16">
        <f t="shared" ref="D2:D3" si="0">C2/B2</f>
        <v>6.9657086311809921</v>
      </c>
      <c r="E2" s="8">
        <f>B2/(29/D2)</f>
        <v>2942.7326954951618</v>
      </c>
      <c r="F2" s="8">
        <f>(B2/29)*2</f>
        <v>844.91983552755642</v>
      </c>
    </row>
    <row r="3" spans="1:6" x14ac:dyDescent="0.25">
      <c r="A3" s="11">
        <v>45505</v>
      </c>
      <c r="B3" s="8">
        <f>$B$12*($C$12/$D$12)*(B8/$C$12)</f>
        <v>14256.424803210026</v>
      </c>
      <c r="C3" s="8">
        <f>($B$15*($C$15/$D$15)*(C8/$C$15))</f>
        <v>70657.925539872303</v>
      </c>
      <c r="D3" s="16">
        <f t="shared" si="0"/>
        <v>4.9562163386126601</v>
      </c>
      <c r="E3" s="8">
        <f>B3/(31/D3)</f>
        <v>2279.2879206410421</v>
      </c>
      <c r="F3" s="8">
        <f>(B3/31)*2</f>
        <v>919.76934214258233</v>
      </c>
    </row>
    <row r="4" spans="1:6" x14ac:dyDescent="0.25">
      <c r="A4" s="11">
        <v>45597</v>
      </c>
      <c r="B4" s="8">
        <f>$B$12*($C$12/$D$12)*(B9/$C$12)</f>
        <v>2942.4747564823779</v>
      </c>
      <c r="C4" s="8">
        <f>($B$15*($C$15/$D$15)*(C9/$C$15))</f>
        <v>10131.628491586271</v>
      </c>
      <c r="D4" s="16">
        <f>C4/B4</f>
        <v>3.4432337845094265</v>
      </c>
      <c r="E4" s="8">
        <f>B4/(30/D4)</f>
        <v>337.72094971954238</v>
      </c>
      <c r="F4" s="8">
        <f>(B4/30)*2</f>
        <v>196.16498376549185</v>
      </c>
    </row>
    <row r="6" spans="1:6" ht="30" x14ac:dyDescent="0.25">
      <c r="A6" s="17" t="s">
        <v>40</v>
      </c>
      <c r="B6" s="10" t="s">
        <v>64</v>
      </c>
      <c r="C6" s="10" t="s">
        <v>58</v>
      </c>
    </row>
    <row r="7" spans="1:6" x14ac:dyDescent="0.25">
      <c r="A7" s="11">
        <v>45323</v>
      </c>
      <c r="B7" s="5">
        <f>'hotel finalarea'!B2</f>
        <v>42777</v>
      </c>
      <c r="C7" s="5">
        <f>'hotel finalarea'!C2</f>
        <v>165513</v>
      </c>
    </row>
    <row r="8" spans="1:6" x14ac:dyDescent="0.25">
      <c r="A8" s="11">
        <v>45505</v>
      </c>
      <c r="B8" s="5">
        <f>'hotel finalarea'!B3</f>
        <v>49778</v>
      </c>
      <c r="C8" s="5">
        <f>'hotel finalarea'!C3</f>
        <v>137039</v>
      </c>
    </row>
    <row r="9" spans="1:6" x14ac:dyDescent="0.25">
      <c r="A9" s="11">
        <v>45597</v>
      </c>
      <c r="B9" s="5">
        <f>'hotel finalarea'!B4</f>
        <v>10274</v>
      </c>
      <c r="C9" s="5">
        <f>'hotel finalarea'!C4</f>
        <v>19650</v>
      </c>
    </row>
    <row r="11" spans="1:6" ht="30" x14ac:dyDescent="0.25">
      <c r="B11" s="7" t="s">
        <v>61</v>
      </c>
      <c r="C11" s="7" t="s">
        <v>62</v>
      </c>
      <c r="D11" s="7" t="s">
        <v>63</v>
      </c>
    </row>
    <row r="12" spans="1:6" x14ac:dyDescent="0.25">
      <c r="B12" s="16">
        <v>608858.57209999999</v>
      </c>
      <c r="C12" s="5">
        <v>401628</v>
      </c>
      <c r="D12" s="5">
        <v>2125902</v>
      </c>
    </row>
    <row r="14" spans="1:6" ht="30" customHeight="1" x14ac:dyDescent="0.25">
      <c r="B14" s="7" t="s">
        <v>43</v>
      </c>
      <c r="C14" s="7" t="s">
        <v>59</v>
      </c>
      <c r="D14" s="7" t="s">
        <v>60</v>
      </c>
    </row>
    <row r="15" spans="1:6" x14ac:dyDescent="0.25">
      <c r="B15" s="16">
        <v>2849765.6831999999</v>
      </c>
      <c r="C15" s="5">
        <v>1132262</v>
      </c>
      <c r="D15" s="5">
        <v>5527038</v>
      </c>
    </row>
    <row r="17" spans="1:12" ht="30" x14ac:dyDescent="0.25">
      <c r="D17" s="7" t="s">
        <v>86</v>
      </c>
      <c r="E17" s="25" t="s">
        <v>101</v>
      </c>
      <c r="F17" s="5" t="s">
        <v>125</v>
      </c>
      <c r="G17" s="5" t="s">
        <v>102</v>
      </c>
      <c r="H17" s="5" t="s">
        <v>104</v>
      </c>
      <c r="I17" s="5" t="s">
        <v>120</v>
      </c>
      <c r="J17" s="5" t="s">
        <v>121</v>
      </c>
      <c r="K17" s="5" t="s">
        <v>131</v>
      </c>
      <c r="L17" s="5" t="s">
        <v>132</v>
      </c>
    </row>
    <row r="18" spans="1:12" x14ac:dyDescent="0.25">
      <c r="D18" s="12">
        <v>0.3</v>
      </c>
      <c r="E18" s="20">
        <v>0.15</v>
      </c>
      <c r="F18" s="12">
        <v>0.1</v>
      </c>
      <c r="G18" s="12">
        <v>0.7</v>
      </c>
      <c r="H18" s="12">
        <v>0.3</v>
      </c>
      <c r="I18" s="12">
        <v>0.5</v>
      </c>
      <c r="J18" s="12">
        <v>0.5</v>
      </c>
      <c r="K18" s="12">
        <v>0.3</v>
      </c>
      <c r="L18" s="12">
        <v>0.7</v>
      </c>
    </row>
    <row r="19" spans="1:12" ht="45" x14ac:dyDescent="0.25">
      <c r="A19" s="5" t="s">
        <v>94</v>
      </c>
      <c r="B19" s="24" t="s">
        <v>40</v>
      </c>
      <c r="C19" s="7" t="s">
        <v>123</v>
      </c>
      <c r="D19" s="7" t="s">
        <v>124</v>
      </c>
      <c r="E19" s="25" t="s">
        <v>100</v>
      </c>
      <c r="F19" s="7" t="s">
        <v>143</v>
      </c>
      <c r="G19" s="7" t="s">
        <v>139</v>
      </c>
      <c r="H19" s="7" t="s">
        <v>141</v>
      </c>
      <c r="I19" s="7" t="s">
        <v>140</v>
      </c>
      <c r="J19" s="7" t="s">
        <v>142</v>
      </c>
      <c r="K19" s="7" t="s">
        <v>137</v>
      </c>
      <c r="L19" s="7" t="s">
        <v>138</v>
      </c>
    </row>
    <row r="20" spans="1:12" x14ac:dyDescent="0.25">
      <c r="A20" s="35" t="s">
        <v>90</v>
      </c>
      <c r="B20" s="23">
        <v>45323</v>
      </c>
      <c r="C20" s="8">
        <f>$F$2*'hotel finalarea'!C7/$B$7/2</f>
        <v>75.125712285318301</v>
      </c>
      <c r="D20" s="8">
        <f>$E$2*'hotel finalarea'!D7/$C$7</f>
        <v>593.10519408761309</v>
      </c>
      <c r="E20" s="26">
        <f t="shared" ref="E20:E31" si="1">C20*D$18</f>
        <v>22.537713685595488</v>
      </c>
      <c r="F20" s="8">
        <f>C20*$F$18*$E$18</f>
        <v>1.1268856842797745</v>
      </c>
      <c r="G20" s="8">
        <f>((D20*2)*$E$18*$G$18)/2</f>
        <v>62.276045379199367</v>
      </c>
      <c r="H20" s="8">
        <f>((D20*2)*$E$18*$H$18)/2/5</f>
        <v>5.3379467467885178</v>
      </c>
      <c r="I20" s="8"/>
      <c r="J20" s="8"/>
      <c r="K20" s="8"/>
      <c r="L20" s="8"/>
    </row>
    <row r="21" spans="1:12" x14ac:dyDescent="0.25">
      <c r="A21" s="36"/>
      <c r="B21" s="23">
        <v>45505</v>
      </c>
      <c r="C21" s="8">
        <f>$F$3*'hotel finalarea'!C8/$B$8/2</f>
        <v>67.876826677664354</v>
      </c>
      <c r="D21" s="8">
        <f>$E$3*'hotel finalarea'!D8/$C$8</f>
        <v>480.42697033484262</v>
      </c>
      <c r="E21" s="26">
        <f t="shared" si="1"/>
        <v>20.363048003299305</v>
      </c>
      <c r="F21" s="8">
        <f t="shared" ref="F21:F31" si="2">C21*$F$18*$E$18</f>
        <v>1.0181524001649653</v>
      </c>
      <c r="G21" s="8"/>
      <c r="H21" s="8"/>
      <c r="I21" s="8">
        <f>((D21*2)*$I$18*$E$18)/2/7</f>
        <v>5.147431825016171</v>
      </c>
      <c r="J21" s="8">
        <f>((D21*2)*$I$18*$E$18)/2/5</f>
        <v>7.2064045550226394</v>
      </c>
      <c r="K21" s="8"/>
      <c r="L21" s="8"/>
    </row>
    <row r="22" spans="1:12" x14ac:dyDescent="0.25">
      <c r="A22" s="37"/>
      <c r="B22" s="23">
        <v>45597</v>
      </c>
      <c r="C22" s="8">
        <f>$F$4*'hotel finalarea'!C9/$B$9/2</f>
        <v>4.3437350405537662</v>
      </c>
      <c r="D22" s="8">
        <f>$E$4*'hotel finalarea'!D9/$C$9</f>
        <v>15.571256002336151</v>
      </c>
      <c r="E22" s="26">
        <f t="shared" si="1"/>
        <v>1.3031205121661298</v>
      </c>
      <c r="F22" s="8">
        <f t="shared" si="2"/>
        <v>6.5156025608306495E-2</v>
      </c>
      <c r="G22" s="8"/>
      <c r="H22" s="8"/>
      <c r="I22" s="8"/>
      <c r="J22" s="8"/>
      <c r="K22" s="8">
        <f>((D22*2)*$K$18*$E$18)/2/4</f>
        <v>0.17517663002628167</v>
      </c>
      <c r="L22" s="8">
        <f t="shared" ref="L22:L28" si="3">((D22*2)*$L$18*$E$18)/2/5</f>
        <v>0.32699637604905912</v>
      </c>
    </row>
    <row r="23" spans="1:12" x14ac:dyDescent="0.25">
      <c r="A23" s="35" t="s">
        <v>91</v>
      </c>
      <c r="B23" s="23">
        <v>45323</v>
      </c>
      <c r="C23" s="8">
        <f>$F$2*'hotel finalarea'!C10/$B$7/2</f>
        <v>35.651876081240836</v>
      </c>
      <c r="D23" s="8">
        <f>$E$2*'hotel finalarea'!D10/$C$7</f>
        <v>237.32030728383521</v>
      </c>
      <c r="E23" s="26">
        <f t="shared" si="1"/>
        <v>10.695562824372251</v>
      </c>
      <c r="F23" s="8">
        <f t="shared" si="2"/>
        <v>0.53477814121861256</v>
      </c>
      <c r="G23" s="8">
        <f>((D23*2)*$E$18*$G$18)/2</f>
        <v>24.918632264802696</v>
      </c>
      <c r="H23" s="8">
        <f>((D23*2)*$E$18*$H$18)/2/5</f>
        <v>2.1358827655545167</v>
      </c>
      <c r="I23" s="8"/>
      <c r="J23" s="8"/>
      <c r="K23" s="8"/>
      <c r="L23" s="8"/>
    </row>
    <row r="24" spans="1:12" x14ac:dyDescent="0.25">
      <c r="A24" s="36"/>
      <c r="B24" s="23">
        <v>45505</v>
      </c>
      <c r="C24" s="8">
        <f>$F$3*'hotel finalarea'!C11/$B$8/2</f>
        <v>31.439341388878695</v>
      </c>
      <c r="D24" s="8">
        <f>$E$3*'hotel finalarea'!D11/$C$8</f>
        <v>174.87308866541579</v>
      </c>
      <c r="E24" s="26">
        <f t="shared" si="1"/>
        <v>9.4318024166636079</v>
      </c>
      <c r="F24" s="8">
        <f t="shared" si="2"/>
        <v>0.47159012083318047</v>
      </c>
      <c r="G24" s="8"/>
      <c r="H24" s="8"/>
      <c r="I24" s="8">
        <f>((D24*2)*$I$18*$E$18)/2/7</f>
        <v>1.8736402357008834</v>
      </c>
      <c r="J24" s="8">
        <f>((D24*2)*$I$18*$E$18)/2/5</f>
        <v>2.6230963299812369</v>
      </c>
      <c r="K24" s="8"/>
      <c r="L24" s="8"/>
    </row>
    <row r="25" spans="1:12" x14ac:dyDescent="0.25">
      <c r="A25" s="37"/>
      <c r="B25" s="23">
        <v>45597</v>
      </c>
      <c r="C25" s="8">
        <f>$F$4*'hotel finalarea'!C12/$B$9/2</f>
        <v>9.0216035457655153</v>
      </c>
      <c r="D25" s="8">
        <f>$E$4*'hotel finalarea'!D12/$C$9</f>
        <v>38.223480517875942</v>
      </c>
      <c r="E25" s="26">
        <f t="shared" si="1"/>
        <v>2.7064810637296546</v>
      </c>
      <c r="F25" s="8">
        <f t="shared" si="2"/>
        <v>0.13532405318648272</v>
      </c>
      <c r="G25" s="8"/>
      <c r="H25" s="8"/>
      <c r="I25" s="8"/>
      <c r="J25" s="8"/>
      <c r="K25" s="8">
        <f>((D25*2)*$K$18*$E$18)/2/4</f>
        <v>0.43001415582610431</v>
      </c>
      <c r="L25" s="8">
        <f t="shared" si="3"/>
        <v>0.80269309087539464</v>
      </c>
    </row>
    <row r="26" spans="1:12" x14ac:dyDescent="0.25">
      <c r="A26" s="35" t="s">
        <v>92</v>
      </c>
      <c r="B26" s="23">
        <v>45323</v>
      </c>
      <c r="C26" s="8">
        <f>$F$2*'hotel finalarea'!C13/$B$7/2</f>
        <v>21.973801739822953</v>
      </c>
      <c r="D26" s="8">
        <f>$E$2*'hotel finalarea'!D13/$C$7</f>
        <v>118.98018402333125</v>
      </c>
      <c r="E26" s="26">
        <f t="shared" si="1"/>
        <v>6.5921405219468854</v>
      </c>
      <c r="F26" s="8">
        <f t="shared" si="2"/>
        <v>0.32960702609734432</v>
      </c>
      <c r="G26" s="8">
        <f>((D26*2)*$E$18*$G$18)/2</f>
        <v>12.492919322449779</v>
      </c>
      <c r="H26" s="8">
        <f>((D26*2)*$E$18*$H$18)/2/5</f>
        <v>1.0708216562099813</v>
      </c>
      <c r="I26" s="8"/>
      <c r="J26" s="8"/>
      <c r="K26" s="8"/>
      <c r="L26" s="8"/>
    </row>
    <row r="27" spans="1:12" x14ac:dyDescent="0.25">
      <c r="A27" s="36"/>
      <c r="B27" s="23">
        <v>45505</v>
      </c>
      <c r="C27" s="8">
        <f>$F$3*'hotel finalarea'!C14/$B$8/2</f>
        <v>39.865047926244955</v>
      </c>
      <c r="D27" s="8">
        <f>$E$3*'hotel finalarea'!D14/$C$8</f>
        <v>178.84823306250868</v>
      </c>
      <c r="E27" s="26">
        <f t="shared" si="1"/>
        <v>11.959514377873486</v>
      </c>
      <c r="F27" s="8">
        <f t="shared" si="2"/>
        <v>0.5979757188936744</v>
      </c>
      <c r="G27" s="8"/>
      <c r="H27" s="8"/>
      <c r="I27" s="8">
        <f>((D27*2)*$I$18*$E$18)/2/7</f>
        <v>1.9162310685268786</v>
      </c>
      <c r="J27" s="8">
        <f>((D27*2)*$I$18*$E$18)/2/5</f>
        <v>2.6827234959376303</v>
      </c>
      <c r="K27" s="8"/>
      <c r="L27" s="8"/>
    </row>
    <row r="28" spans="1:12" x14ac:dyDescent="0.25">
      <c r="A28" s="37"/>
      <c r="B28" s="23">
        <v>45597</v>
      </c>
      <c r="C28" s="8">
        <f>$F$4*'hotel finalarea'!C15/$B$9/2</f>
        <v>1.8425073908283012</v>
      </c>
      <c r="D28" s="8">
        <f>$E$4*'hotel finalarea'!D15/$C$9</f>
        <v>7.3387707648979434</v>
      </c>
      <c r="E28" s="26">
        <f t="shared" si="1"/>
        <v>0.55275221724849033</v>
      </c>
      <c r="F28" s="8">
        <f t="shared" si="2"/>
        <v>2.7637610862424517E-2</v>
      </c>
      <c r="G28" s="8"/>
      <c r="H28" s="8"/>
      <c r="I28" s="8"/>
      <c r="J28" s="8"/>
      <c r="K28" s="8">
        <f>((D28*2)*$K$18*$E$18)/2/4</f>
        <v>8.256117110510186E-2</v>
      </c>
      <c r="L28" s="8">
        <f t="shared" si="3"/>
        <v>0.15411418606285682</v>
      </c>
    </row>
    <row r="29" spans="1:12" x14ac:dyDescent="0.25">
      <c r="A29" s="35" t="s">
        <v>93</v>
      </c>
      <c r="B29" s="23">
        <v>45323</v>
      </c>
      <c r="C29" s="8">
        <f>$F$2*'hotel finalarea'!C16/$B$7/2</f>
        <v>289.70852765739613</v>
      </c>
      <c r="D29" s="8">
        <f>$E$2*'hotel finalarea'!D16/$C$7</f>
        <v>1993.3270101003823</v>
      </c>
      <c r="E29" s="26">
        <f t="shared" si="1"/>
        <v>86.912558297218837</v>
      </c>
      <c r="F29" s="8">
        <f t="shared" si="2"/>
        <v>4.345627914860942</v>
      </c>
      <c r="G29" s="8">
        <f>((D29*2)*$E$18*$G$18)/2</f>
        <v>209.2993360605401</v>
      </c>
      <c r="H29" s="8">
        <f>((D29*2)*$E$18*$H$18)/2/5</f>
        <v>17.939943090903437</v>
      </c>
      <c r="I29" s="8"/>
      <c r="J29" s="8"/>
      <c r="K29" s="8"/>
      <c r="L29" s="8"/>
    </row>
    <row r="30" spans="1:12" x14ac:dyDescent="0.25">
      <c r="A30" s="36"/>
      <c r="B30" s="23">
        <v>45505</v>
      </c>
      <c r="C30" s="8">
        <f>$F$3*'hotel finalarea'!C17/$B$8/2</f>
        <v>320.70345507850317</v>
      </c>
      <c r="D30" s="8">
        <f>$E$3*'hotel finalarea'!D17/$C$8</f>
        <v>1445.1396285782751</v>
      </c>
      <c r="E30" s="26">
        <f t="shared" si="1"/>
        <v>96.211036523550945</v>
      </c>
      <c r="F30" s="8">
        <f t="shared" si="2"/>
        <v>4.810551826177548</v>
      </c>
      <c r="G30" s="8"/>
      <c r="H30" s="8"/>
      <c r="I30" s="8">
        <f>((D30*2)*$I$18*$E$18)/2/7</f>
        <v>15.483638877624374</v>
      </c>
      <c r="J30" s="8">
        <f>((D30*2)*$I$18*$E$18)/2/5</f>
        <v>21.677094428674124</v>
      </c>
      <c r="K30" s="8"/>
      <c r="L30" s="8"/>
    </row>
    <row r="31" spans="1:12" x14ac:dyDescent="0.25">
      <c r="A31" s="37"/>
      <c r="B31" s="23">
        <v>45597</v>
      </c>
      <c r="C31" s="8">
        <f>$F$4*'hotel finalarea'!C18/$B$9/2</f>
        <v>82.874645905598342</v>
      </c>
      <c r="D31" s="8">
        <f>$E$4*'hotel finalarea'!D18/$C$9</f>
        <v>276.58744243443238</v>
      </c>
      <c r="E31" s="26">
        <f t="shared" si="1"/>
        <v>24.862393771679503</v>
      </c>
      <c r="F31" s="8">
        <f t="shared" si="2"/>
        <v>1.243119688583975</v>
      </c>
      <c r="G31" s="8"/>
      <c r="H31" s="8"/>
      <c r="I31" s="8"/>
      <c r="J31" s="8"/>
      <c r="K31" s="8">
        <f>((D31*2)*$K$18*$E$18)/2/4</f>
        <v>3.111608727387364</v>
      </c>
      <c r="L31" s="8">
        <f>((D31*2)*$L$18*$E$18)/2/5</f>
        <v>5.8083362911230791</v>
      </c>
    </row>
    <row r="33" spans="1:4" x14ac:dyDescent="0.25">
      <c r="A33" s="5" t="s">
        <v>40</v>
      </c>
      <c r="B33" s="5" t="s">
        <v>136</v>
      </c>
      <c r="C33" s="9"/>
      <c r="D33" s="9"/>
    </row>
    <row r="34" spans="1:4" x14ac:dyDescent="0.25">
      <c r="A34" s="11">
        <v>45323</v>
      </c>
      <c r="B34" s="8">
        <f>(1+1+1+4)*2+(62+25+12+209)*2+(5+2+2+15)*5*2+(23+11+3+87)*2</f>
        <v>1118</v>
      </c>
      <c r="C34" s="9"/>
      <c r="D34" s="9"/>
    </row>
    <row r="35" spans="1:4" x14ac:dyDescent="0.25">
      <c r="A35" s="11">
        <v>45505</v>
      </c>
      <c r="B35" s="8">
        <f>(1+1+1+5)*2+(5+2+2+15)*4*2+(7+3+3+22)*5*2+(20+9+12+96)*2</f>
        <v>832</v>
      </c>
      <c r="C35" s="9"/>
      <c r="D35" s="9"/>
    </row>
    <row r="36" spans="1:4" x14ac:dyDescent="0.25">
      <c r="A36" s="11">
        <v>45597</v>
      </c>
      <c r="B36" s="8">
        <f>(1+1+1+1)*2+(1+1+1+3)*4*2+(1+1+1+6)*5*2+(1+3+1+25)*2</f>
        <v>206</v>
      </c>
    </row>
  </sheetData>
  <mergeCells count="4">
    <mergeCell ref="A20:A22"/>
    <mergeCell ref="A23:A25"/>
    <mergeCell ref="A26:A28"/>
    <mergeCell ref="A29:A3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2619-197C-469B-9509-C767EAE4ED28}">
  <dimension ref="A1:E31"/>
  <sheetViews>
    <sheetView workbookViewId="0">
      <selection activeCell="F34" sqref="F34"/>
    </sheetView>
  </sheetViews>
  <sheetFormatPr baseColWidth="10" defaultRowHeight="15" x14ac:dyDescent="0.25"/>
  <cols>
    <col min="1" max="1" width="28.42578125" customWidth="1"/>
    <col min="2" max="2" width="15.85546875" bestFit="1" customWidth="1"/>
  </cols>
  <sheetData>
    <row r="1" spans="1:5" x14ac:dyDescent="0.25">
      <c r="A1" s="5"/>
      <c r="B1" s="5"/>
      <c r="C1" s="5" t="s">
        <v>6</v>
      </c>
      <c r="D1" s="5" t="s">
        <v>5</v>
      </c>
      <c r="E1" s="5" t="s">
        <v>3</v>
      </c>
    </row>
    <row r="2" spans="1:5" x14ac:dyDescent="0.25">
      <c r="A2" s="5" t="s">
        <v>9</v>
      </c>
      <c r="B2" s="5" t="s">
        <v>10</v>
      </c>
      <c r="C2" s="5">
        <v>250</v>
      </c>
      <c r="D2" s="5">
        <v>80</v>
      </c>
      <c r="E2" s="5">
        <v>330</v>
      </c>
    </row>
    <row r="3" spans="1:5" x14ac:dyDescent="0.25">
      <c r="A3" s="5" t="s">
        <v>11</v>
      </c>
      <c r="B3" s="5" t="s">
        <v>10</v>
      </c>
      <c r="C3" s="5">
        <v>60</v>
      </c>
      <c r="D3" s="5">
        <v>50</v>
      </c>
      <c r="E3" s="5">
        <v>110</v>
      </c>
    </row>
    <row r="4" spans="1:5" x14ac:dyDescent="0.25">
      <c r="A4" s="5" t="s">
        <v>17</v>
      </c>
      <c r="B4" s="5" t="s">
        <v>0</v>
      </c>
      <c r="C4" s="5">
        <v>140</v>
      </c>
      <c r="D4" s="5">
        <v>10</v>
      </c>
      <c r="E4" s="5">
        <v>150</v>
      </c>
    </row>
    <row r="5" spans="1:5" x14ac:dyDescent="0.25">
      <c r="A5" s="5" t="s">
        <v>16</v>
      </c>
      <c r="B5" s="5" t="s">
        <v>0</v>
      </c>
      <c r="C5" s="5">
        <v>199</v>
      </c>
      <c r="D5" s="5">
        <v>0</v>
      </c>
      <c r="E5" s="5">
        <v>199</v>
      </c>
    </row>
    <row r="6" spans="1:5" x14ac:dyDescent="0.25">
      <c r="A6" s="5" t="s">
        <v>13</v>
      </c>
      <c r="B6" s="5" t="s">
        <v>14</v>
      </c>
      <c r="C6" s="5">
        <v>30</v>
      </c>
      <c r="D6" s="5">
        <v>10</v>
      </c>
      <c r="E6" s="5">
        <v>40</v>
      </c>
    </row>
    <row r="7" spans="1:5" x14ac:dyDescent="0.25">
      <c r="A7" s="5" t="s">
        <v>15</v>
      </c>
      <c r="B7" s="5" t="s">
        <v>0</v>
      </c>
      <c r="C7" s="5">
        <v>130</v>
      </c>
      <c r="D7" s="5">
        <v>120</v>
      </c>
      <c r="E7" s="5">
        <v>250</v>
      </c>
    </row>
    <row r="8" spans="1:5" x14ac:dyDescent="0.25">
      <c r="A8" s="5" t="s">
        <v>12</v>
      </c>
      <c r="B8" s="5" t="s">
        <v>10</v>
      </c>
      <c r="C8" s="5">
        <v>44</v>
      </c>
      <c r="D8" s="5">
        <v>12</v>
      </c>
      <c r="E8" s="5">
        <v>56</v>
      </c>
    </row>
    <row r="9" spans="1:5" x14ac:dyDescent="0.25">
      <c r="A9" s="5" t="s">
        <v>19</v>
      </c>
      <c r="B9" s="5" t="s">
        <v>0</v>
      </c>
      <c r="C9" s="5">
        <v>110</v>
      </c>
      <c r="D9" s="5">
        <v>10</v>
      </c>
      <c r="E9" s="5">
        <v>120</v>
      </c>
    </row>
    <row r="10" spans="1:5" x14ac:dyDescent="0.25">
      <c r="A10" s="5" t="s">
        <v>18</v>
      </c>
      <c r="B10" s="5" t="s">
        <v>0</v>
      </c>
      <c r="C10" s="5">
        <v>100</v>
      </c>
      <c r="D10" s="5">
        <v>20</v>
      </c>
      <c r="E10" s="5">
        <v>120</v>
      </c>
    </row>
    <row r="12" spans="1:5" x14ac:dyDescent="0.25">
      <c r="A12" s="39" t="s">
        <v>8</v>
      </c>
      <c r="B12" s="39" t="s">
        <v>1</v>
      </c>
      <c r="C12" s="5">
        <f>C2+C3+C6+C8</f>
        <v>384</v>
      </c>
      <c r="D12" s="5">
        <f t="shared" ref="D12:E12" si="0">D2+D3+D6+D8</f>
        <v>152</v>
      </c>
      <c r="E12" s="5">
        <f t="shared" si="0"/>
        <v>536</v>
      </c>
    </row>
    <row r="13" spans="1:5" x14ac:dyDescent="0.25">
      <c r="A13" s="39"/>
      <c r="B13" s="39"/>
      <c r="C13" s="13">
        <f t="shared" ref="C13:D13" si="1">C12/$E$12</f>
        <v>0.71641791044776115</v>
      </c>
      <c r="D13" s="13">
        <f t="shared" si="1"/>
        <v>0.28358208955223879</v>
      </c>
      <c r="E13" s="13">
        <f>E12/$E$12</f>
        <v>1</v>
      </c>
    </row>
    <row r="14" spans="1:5" x14ac:dyDescent="0.25">
      <c r="A14" s="39" t="s">
        <v>8</v>
      </c>
      <c r="B14" s="39" t="s">
        <v>0</v>
      </c>
      <c r="C14" s="5">
        <f>SUM(C2:C10)</f>
        <v>1063</v>
      </c>
      <c r="D14" s="5">
        <f t="shared" ref="D14:E14" si="2">SUM(D2:D10)</f>
        <v>312</v>
      </c>
      <c r="E14" s="5">
        <f t="shared" si="2"/>
        <v>1375</v>
      </c>
    </row>
    <row r="15" spans="1:5" x14ac:dyDescent="0.25">
      <c r="A15" s="39"/>
      <c r="B15" s="39"/>
      <c r="C15" s="13">
        <f t="shared" ref="C15:D15" si="3">C14/$E$14</f>
        <v>0.77309090909090905</v>
      </c>
      <c r="D15" s="13">
        <f t="shared" si="3"/>
        <v>0.22690909090909092</v>
      </c>
      <c r="E15" s="13">
        <f>E14/$E$14</f>
        <v>1</v>
      </c>
    </row>
    <row r="16" spans="1:5" x14ac:dyDescent="0.25">
      <c r="A16" s="39" t="s">
        <v>8</v>
      </c>
      <c r="B16" s="39" t="s">
        <v>2</v>
      </c>
      <c r="C16" s="5">
        <f>C2+C3+C8</f>
        <v>354</v>
      </c>
      <c r="D16" s="5">
        <f>D2+D3+D8</f>
        <v>142</v>
      </c>
      <c r="E16" s="5">
        <f>E2+E3+E8</f>
        <v>496</v>
      </c>
    </row>
    <row r="17" spans="1:5" x14ac:dyDescent="0.25">
      <c r="A17" s="39"/>
      <c r="B17" s="39"/>
      <c r="C17" s="13">
        <f t="shared" ref="C17:D17" si="4">C16/$E$16</f>
        <v>0.71370967741935487</v>
      </c>
      <c r="D17" s="13">
        <f t="shared" si="4"/>
        <v>0.28629032258064518</v>
      </c>
      <c r="E17" s="13">
        <f>E16/$E$16</f>
        <v>1</v>
      </c>
    </row>
    <row r="19" spans="1:5" x14ac:dyDescent="0.25">
      <c r="A19" s="38" t="s">
        <v>7</v>
      </c>
      <c r="B19" s="39" t="s">
        <v>1</v>
      </c>
      <c r="C19" s="5">
        <f>C2+C3+C8</f>
        <v>354</v>
      </c>
      <c r="D19" s="5">
        <f t="shared" ref="D19:E19" si="5">D2+D3+D8</f>
        <v>142</v>
      </c>
      <c r="E19" s="5">
        <f t="shared" si="5"/>
        <v>496</v>
      </c>
    </row>
    <row r="20" spans="1:5" x14ac:dyDescent="0.25">
      <c r="A20" s="38"/>
      <c r="B20" s="39"/>
      <c r="C20" s="13">
        <f t="shared" ref="C20:D20" si="6">C19/$E$19</f>
        <v>0.71370967741935487</v>
      </c>
      <c r="D20" s="13">
        <f t="shared" si="6"/>
        <v>0.28629032258064518</v>
      </c>
      <c r="E20" s="13">
        <f>E19/$E$19</f>
        <v>1</v>
      </c>
    </row>
    <row r="21" spans="1:5" x14ac:dyDescent="0.25">
      <c r="A21" s="38" t="s">
        <v>7</v>
      </c>
      <c r="B21" s="39" t="s">
        <v>0</v>
      </c>
      <c r="C21" s="5">
        <f>C2+C3+C4+C5+C7+C8+C9</f>
        <v>933</v>
      </c>
      <c r="D21" s="5">
        <f t="shared" ref="D21:E21" si="7">D2+D3+D4+D5+D7+D8+D9</f>
        <v>282</v>
      </c>
      <c r="E21" s="5">
        <f t="shared" si="7"/>
        <v>1215</v>
      </c>
    </row>
    <row r="22" spans="1:5" x14ac:dyDescent="0.25">
      <c r="A22" s="38"/>
      <c r="B22" s="39"/>
      <c r="C22" s="13">
        <f t="shared" ref="C22:D22" si="8">C21/$E$21</f>
        <v>0.76790123456790127</v>
      </c>
      <c r="D22" s="13">
        <f t="shared" si="8"/>
        <v>0.23209876543209876</v>
      </c>
      <c r="E22" s="13">
        <f>E21/$E$21</f>
        <v>1</v>
      </c>
    </row>
    <row r="23" spans="1:5" x14ac:dyDescent="0.25">
      <c r="A23" s="38" t="s">
        <v>7</v>
      </c>
      <c r="B23" s="39" t="s">
        <v>2</v>
      </c>
      <c r="C23" s="5">
        <f>C2+C3+C8</f>
        <v>354</v>
      </c>
      <c r="D23" s="5">
        <f>D2+D3+D8</f>
        <v>142</v>
      </c>
      <c r="E23" s="5">
        <f>E2+E3+E8</f>
        <v>496</v>
      </c>
    </row>
    <row r="24" spans="1:5" x14ac:dyDescent="0.25">
      <c r="A24" s="38"/>
      <c r="B24" s="39"/>
      <c r="C24" s="13">
        <f t="shared" ref="C24:D24" si="9">C23/$E$23</f>
        <v>0.71370967741935487</v>
      </c>
      <c r="D24" s="13">
        <f t="shared" si="9"/>
        <v>0.28629032258064518</v>
      </c>
      <c r="E24" s="13">
        <f>E23/$E$23</f>
        <v>1</v>
      </c>
    </row>
    <row r="26" spans="1:5" x14ac:dyDescent="0.25">
      <c r="A26" s="38" t="s">
        <v>20</v>
      </c>
      <c r="B26" s="39" t="s">
        <v>1</v>
      </c>
      <c r="C26" s="5">
        <v>0</v>
      </c>
      <c r="D26" s="5">
        <v>0</v>
      </c>
      <c r="E26" s="5">
        <v>0</v>
      </c>
    </row>
    <row r="27" spans="1:5" x14ac:dyDescent="0.25">
      <c r="A27" s="38"/>
      <c r="B27" s="39"/>
      <c r="C27" s="13">
        <v>0</v>
      </c>
      <c r="D27" s="13">
        <v>0</v>
      </c>
      <c r="E27" s="13">
        <v>0</v>
      </c>
    </row>
    <row r="28" spans="1:5" x14ac:dyDescent="0.25">
      <c r="A28" s="38" t="s">
        <v>20</v>
      </c>
      <c r="B28" s="39" t="s">
        <v>0</v>
      </c>
      <c r="C28" s="5">
        <f>C4+C5+C7+C9</f>
        <v>579</v>
      </c>
      <c r="D28" s="5">
        <f>D4+D5+D7+D9</f>
        <v>140</v>
      </c>
      <c r="E28" s="5">
        <f>E4+E5+E7+E9</f>
        <v>719</v>
      </c>
    </row>
    <row r="29" spans="1:5" x14ac:dyDescent="0.25">
      <c r="A29" s="38"/>
      <c r="B29" s="39"/>
      <c r="C29" s="13">
        <f t="shared" ref="C29:D29" si="10">C28/$E$28</f>
        <v>0.80528511821974968</v>
      </c>
      <c r="D29" s="13">
        <f t="shared" si="10"/>
        <v>0.19471488178025034</v>
      </c>
      <c r="E29" s="13">
        <f>E28/$E$28</f>
        <v>1</v>
      </c>
    </row>
    <row r="30" spans="1:5" x14ac:dyDescent="0.25">
      <c r="A30" s="38" t="s">
        <v>20</v>
      </c>
      <c r="B30" s="39" t="s">
        <v>2</v>
      </c>
      <c r="C30" s="5">
        <v>0</v>
      </c>
      <c r="D30" s="5">
        <v>0</v>
      </c>
      <c r="E30" s="5">
        <v>0</v>
      </c>
    </row>
    <row r="31" spans="1:5" x14ac:dyDescent="0.25">
      <c r="A31" s="38"/>
      <c r="B31" s="39"/>
      <c r="C31" s="13">
        <v>0</v>
      </c>
      <c r="D31" s="13">
        <v>0</v>
      </c>
      <c r="E31" s="13">
        <v>0</v>
      </c>
    </row>
  </sheetData>
  <mergeCells count="18">
    <mergeCell ref="A12:A13"/>
    <mergeCell ref="B12:B13"/>
    <mergeCell ref="B16:B17"/>
    <mergeCell ref="B19:B20"/>
    <mergeCell ref="B21:B22"/>
    <mergeCell ref="B23:B24"/>
    <mergeCell ref="A14:A15"/>
    <mergeCell ref="A16:A17"/>
    <mergeCell ref="A19:A20"/>
    <mergeCell ref="A21:A22"/>
    <mergeCell ref="A23:A24"/>
    <mergeCell ref="B14:B15"/>
    <mergeCell ref="A26:A27"/>
    <mergeCell ref="B28:B29"/>
    <mergeCell ref="B30:B31"/>
    <mergeCell ref="A28:A29"/>
    <mergeCell ref="A30:A31"/>
    <mergeCell ref="B26:B2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D5B-1ABC-4278-A85F-A5923F36DDFC}">
  <dimension ref="A1:J28"/>
  <sheetViews>
    <sheetView topLeftCell="A10" zoomScale="90" zoomScaleNormal="90" workbookViewId="0">
      <selection activeCell="E47" sqref="E47"/>
    </sheetView>
  </sheetViews>
  <sheetFormatPr baseColWidth="10" defaultRowHeight="15" x14ac:dyDescent="0.25"/>
  <cols>
    <col min="2" max="2" width="41.85546875" bestFit="1" customWidth="1"/>
    <col min="3" max="3" width="40.85546875" bestFit="1" customWidth="1"/>
    <col min="4" max="4" width="44.7109375" bestFit="1" customWidth="1"/>
    <col min="5" max="5" width="42.42578125" bestFit="1" customWidth="1"/>
    <col min="6" max="6" width="44.5703125" bestFit="1" customWidth="1"/>
    <col min="7" max="7" width="48.42578125" bestFit="1" customWidth="1"/>
    <col min="8" max="8" width="16.85546875" bestFit="1" customWidth="1"/>
    <col min="9" max="9" width="44" bestFit="1" customWidth="1"/>
    <col min="10" max="10" width="46.28515625" bestFit="1" customWidth="1"/>
  </cols>
  <sheetData>
    <row r="1" spans="1:10" ht="30" x14ac:dyDescent="0.25">
      <c r="A1" s="17" t="s">
        <v>40</v>
      </c>
      <c r="B1" s="7" t="s">
        <v>4</v>
      </c>
      <c r="C1" s="7" t="s">
        <v>45</v>
      </c>
      <c r="D1" s="7" t="s">
        <v>72</v>
      </c>
      <c r="E1" s="7" t="s">
        <v>73</v>
      </c>
      <c r="F1" s="7" t="s">
        <v>51</v>
      </c>
      <c r="G1" s="7" t="s">
        <v>74</v>
      </c>
      <c r="H1" s="7" t="s">
        <v>41</v>
      </c>
      <c r="I1" s="7" t="s">
        <v>52</v>
      </c>
      <c r="J1" s="7" t="s">
        <v>75</v>
      </c>
    </row>
    <row r="2" spans="1:10" x14ac:dyDescent="0.25">
      <c r="A2" s="11">
        <v>45323</v>
      </c>
      <c r="B2" s="8">
        <v>4</v>
      </c>
      <c r="C2" s="8">
        <f>campgrounds!C12</f>
        <v>384</v>
      </c>
      <c r="D2" s="8">
        <f>$E$7*(C2/$B$7)</f>
        <v>1265.79115710254</v>
      </c>
      <c r="E2" s="8">
        <f>(C2/$C$10)*$D$10</f>
        <v>2867.7218864743122</v>
      </c>
      <c r="F2" s="8">
        <f>(B13/$B$19)*$E$10</f>
        <v>6808.4628783301323</v>
      </c>
      <c r="G2" s="16">
        <f>F2/E2</f>
        <v>2.3741712578344614</v>
      </c>
      <c r="H2" s="8">
        <v>29</v>
      </c>
      <c r="I2" s="8">
        <f>E2/(H2/(F2/E2))</f>
        <v>234.77458201138387</v>
      </c>
      <c r="J2" s="8">
        <f>(E2/H2)*2</f>
        <v>197.77392320512499</v>
      </c>
    </row>
    <row r="3" spans="1:10" x14ac:dyDescent="0.25">
      <c r="A3" s="11">
        <v>45505</v>
      </c>
      <c r="B3" s="8">
        <v>5</v>
      </c>
      <c r="C3" s="8">
        <f>campgrounds!C14</f>
        <v>1063</v>
      </c>
      <c r="D3" s="8">
        <f>$E$7*(C3/$B$7)</f>
        <v>3504</v>
      </c>
      <c r="E3" s="8">
        <f>(C3/$C$10)*$D$10</f>
        <v>7938.5113680265467</v>
      </c>
      <c r="F3" s="8">
        <f>(B14/$B$19)*$E$10</f>
        <v>32916.847552863524</v>
      </c>
      <c r="G3" s="16">
        <f t="shared" ref="G3:G4" si="0">F3/E3</f>
        <v>4.1464760868694706</v>
      </c>
      <c r="H3" s="8">
        <v>31</v>
      </c>
      <c r="I3" s="8">
        <f>E3/(H3/(F3/E3))</f>
        <v>1061.8337920278557</v>
      </c>
      <c r="J3" s="8">
        <f>(E3/H3)*2</f>
        <v>512.16202374364821</v>
      </c>
    </row>
    <row r="4" spans="1:10" x14ac:dyDescent="0.25">
      <c r="A4" s="11">
        <v>45597</v>
      </c>
      <c r="B4" s="8">
        <v>3</v>
      </c>
      <c r="C4" s="8">
        <f>campgrounds!C16</f>
        <v>354</v>
      </c>
      <c r="D4" s="8">
        <f>$E$7*(C4/$B$7)</f>
        <v>1166.9012229539039</v>
      </c>
      <c r="E4" s="8">
        <f>(C4/$C$10)*$D$10</f>
        <v>2643.6811140935069</v>
      </c>
      <c r="F4" s="8">
        <f>(B15/$B$19)*$E$10</f>
        <v>5779.2675133539906</v>
      </c>
      <c r="G4" s="16">
        <f t="shared" si="0"/>
        <v>2.1860683130596281</v>
      </c>
      <c r="H4" s="8">
        <v>30</v>
      </c>
      <c r="I4" s="8">
        <f>E4/(H4/(F4/E4))</f>
        <v>192.64225044513304</v>
      </c>
      <c r="J4" s="8">
        <f>(E4/H4)*2</f>
        <v>176.24540760623378</v>
      </c>
    </row>
    <row r="5" spans="1:10" x14ac:dyDescent="0.25">
      <c r="D5" s="2"/>
    </row>
    <row r="6" spans="1:10" ht="30" x14ac:dyDescent="0.25">
      <c r="B6" s="7" t="s">
        <v>46</v>
      </c>
      <c r="C6" s="7" t="s">
        <v>70</v>
      </c>
      <c r="D6" s="7" t="s">
        <v>71</v>
      </c>
      <c r="E6" s="7" t="s">
        <v>44</v>
      </c>
      <c r="I6" s="9"/>
    </row>
    <row r="7" spans="1:10" x14ac:dyDescent="0.25">
      <c r="B7" s="5">
        <v>1063</v>
      </c>
      <c r="C7" s="5">
        <v>194795</v>
      </c>
      <c r="D7" s="5">
        <v>545143</v>
      </c>
      <c r="E7" s="5">
        <v>3504</v>
      </c>
    </row>
    <row r="9" spans="1:10" ht="30" x14ac:dyDescent="0.25">
      <c r="B9" s="7" t="s">
        <v>47</v>
      </c>
      <c r="C9" s="7" t="s">
        <v>48</v>
      </c>
      <c r="D9" s="7" t="s">
        <v>49</v>
      </c>
      <c r="E9" s="7" t="s">
        <v>50</v>
      </c>
    </row>
    <row r="10" spans="1:10" x14ac:dyDescent="0.25">
      <c r="B10" s="5">
        <f>D3*B3+D2*B2+D4*B4</f>
        <v>26083.868297271871</v>
      </c>
      <c r="C10" s="5">
        <f>C3*B3+C2*B2+C4*B4</f>
        <v>7913</v>
      </c>
      <c r="D10" s="5">
        <f>C10*(C7/B10)</f>
        <v>59094.487728310509</v>
      </c>
      <c r="E10" s="5">
        <f>C10*(D7/B10)</f>
        <v>165378.71261415526</v>
      </c>
    </row>
    <row r="12" spans="1:10" ht="30" x14ac:dyDescent="0.25">
      <c r="A12" s="17" t="s">
        <v>40</v>
      </c>
      <c r="B12" s="7" t="s">
        <v>69</v>
      </c>
    </row>
    <row r="13" spans="1:10" x14ac:dyDescent="0.25">
      <c r="A13" s="11">
        <v>45323</v>
      </c>
      <c r="B13" s="5">
        <f>'hotel overnightstay customcurve'!D4</f>
        <v>43423</v>
      </c>
      <c r="F13" s="3"/>
      <c r="G13" s="3"/>
    </row>
    <row r="14" spans="1:10" x14ac:dyDescent="0.25">
      <c r="A14" s="11">
        <v>45505</v>
      </c>
      <c r="B14" s="8">
        <f>'hotel overnightstay customcurve'!D10</f>
        <v>209937</v>
      </c>
    </row>
    <row r="15" spans="1:10" x14ac:dyDescent="0.25">
      <c r="A15" s="11">
        <v>45597</v>
      </c>
      <c r="B15" s="8">
        <f>'hotel overnightstay customcurve'!D13</f>
        <v>36859</v>
      </c>
    </row>
    <row r="18" spans="2:3" ht="30" x14ac:dyDescent="0.25">
      <c r="B18" s="7" t="s">
        <v>68</v>
      </c>
    </row>
    <row r="19" spans="2:3" x14ac:dyDescent="0.25">
      <c r="B19" s="5">
        <f>SUM('hotel overnightstay customcurve'!D3:D14)</f>
        <v>1054752</v>
      </c>
    </row>
    <row r="28" spans="2:3" x14ac:dyDescent="0.25">
      <c r="C28" s="9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7EC8-EEC3-4658-B900-45E98EB949AE}">
  <dimension ref="A1:J19"/>
  <sheetViews>
    <sheetView topLeftCell="C1" zoomScale="90" zoomScaleNormal="90" workbookViewId="0">
      <selection activeCell="F2" sqref="F2"/>
    </sheetView>
  </sheetViews>
  <sheetFormatPr baseColWidth="10" defaultRowHeight="15" x14ac:dyDescent="0.25"/>
  <cols>
    <col min="2" max="2" width="41.85546875" bestFit="1" customWidth="1"/>
    <col min="3" max="3" width="40.85546875" bestFit="1" customWidth="1"/>
    <col min="4" max="4" width="44.7109375" bestFit="1" customWidth="1"/>
    <col min="5" max="5" width="42.42578125" bestFit="1" customWidth="1"/>
    <col min="6" max="6" width="44.5703125" bestFit="1" customWidth="1"/>
    <col min="7" max="7" width="48.42578125" bestFit="1" customWidth="1"/>
    <col min="8" max="8" width="16.85546875" bestFit="1" customWidth="1"/>
    <col min="9" max="9" width="44" bestFit="1" customWidth="1"/>
    <col min="10" max="10" width="46.28515625" bestFit="1" customWidth="1"/>
  </cols>
  <sheetData>
    <row r="1" spans="1:10" ht="30" x14ac:dyDescent="0.25">
      <c r="A1" s="17" t="s">
        <v>40</v>
      </c>
      <c r="B1" s="7" t="s">
        <v>4</v>
      </c>
      <c r="C1" s="7" t="s">
        <v>45</v>
      </c>
      <c r="D1" s="7" t="s">
        <v>72</v>
      </c>
      <c r="E1" s="7" t="s">
        <v>73</v>
      </c>
      <c r="F1" s="7" t="s">
        <v>51</v>
      </c>
      <c r="G1" s="7" t="s">
        <v>74</v>
      </c>
      <c r="H1" s="7" t="s">
        <v>41</v>
      </c>
      <c r="I1" s="7" t="s">
        <v>52</v>
      </c>
      <c r="J1" s="7" t="s">
        <v>75</v>
      </c>
    </row>
    <row r="2" spans="1:10" x14ac:dyDescent="0.25">
      <c r="A2" s="11">
        <v>45323</v>
      </c>
      <c r="B2" s="8">
        <v>4</v>
      </c>
      <c r="C2" s="8">
        <f>campgrounds!C19</f>
        <v>354</v>
      </c>
      <c r="D2" s="8">
        <f>$E$7*(C2/$B$7)</f>
        <v>1329.4919614147909</v>
      </c>
      <c r="E2" s="8">
        <f>(C2/$C$10)*$D$10</f>
        <v>2570.5021021154921</v>
      </c>
      <c r="F2" s="8">
        <f>(B13/$B$19)*$E$10</f>
        <v>5984.7168316634625</v>
      </c>
      <c r="G2" s="16">
        <f>F2/E2</f>
        <v>2.3282287249398137</v>
      </c>
      <c r="H2" s="8">
        <v>29</v>
      </c>
      <c r="I2" s="8">
        <f>E2/(H2/(F2/E2))</f>
        <v>206.36954591942975</v>
      </c>
      <c r="J2" s="8">
        <f>(E2/H2)*2</f>
        <v>177.27600704244773</v>
      </c>
    </row>
    <row r="3" spans="1:10" x14ac:dyDescent="0.25">
      <c r="A3" s="11">
        <v>45505</v>
      </c>
      <c r="B3" s="8">
        <v>5</v>
      </c>
      <c r="C3" s="8">
        <f>campgrounds!C21</f>
        <v>933</v>
      </c>
      <c r="D3" s="8">
        <f>$E$7*(C3/$B$7)</f>
        <v>3504</v>
      </c>
      <c r="E3" s="8">
        <f>(C3/$C$10)*$D$10</f>
        <v>6774.7979132026949</v>
      </c>
      <c r="F3" s="8">
        <f>(B14/$B$19)*$E$10</f>
        <v>28854.77479101294</v>
      </c>
      <c r="G3" s="16">
        <f>F3/E3</f>
        <v>4.2591343920061275</v>
      </c>
      <c r="H3" s="8">
        <v>31</v>
      </c>
      <c r="I3" s="8">
        <f>E3/(H3/(F3/E3))</f>
        <v>930.7991868068691</v>
      </c>
      <c r="J3" s="8">
        <f>(E3/H3)*2</f>
        <v>437.08373633565776</v>
      </c>
    </row>
    <row r="4" spans="1:10" x14ac:dyDescent="0.25">
      <c r="A4" s="11">
        <v>45597</v>
      </c>
      <c r="B4" s="8">
        <v>3</v>
      </c>
      <c r="C4" s="8">
        <f>campgrounds!C23</f>
        <v>354</v>
      </c>
      <c r="D4" s="8">
        <f>$E$7*(C4/$B$7)</f>
        <v>1329.4919614147909</v>
      </c>
      <c r="E4" s="8">
        <f>(C4/$C$10)*$D$10</f>
        <v>2570.5021021154921</v>
      </c>
      <c r="F4" s="8">
        <f>(B15/$B$19)*$E$10</f>
        <v>5048.8265504880546</v>
      </c>
      <c r="G4" s="16">
        <f>F4/E4</f>
        <v>1.9641402146035716</v>
      </c>
      <c r="H4" s="8">
        <v>30</v>
      </c>
      <c r="I4" s="8">
        <f t="shared" ref="I4" si="0">E4/(H4/(F4/E4))</f>
        <v>168.29421834960181</v>
      </c>
      <c r="J4" s="8">
        <f t="shared" ref="J4" si="1">(E4/H4)*2</f>
        <v>171.36680680769948</v>
      </c>
    </row>
    <row r="5" spans="1:10" x14ac:dyDescent="0.25">
      <c r="D5" s="2"/>
    </row>
    <row r="6" spans="1:10" ht="30" x14ac:dyDescent="0.25">
      <c r="B6" s="7" t="s">
        <v>46</v>
      </c>
      <c r="C6" s="7" t="s">
        <v>70</v>
      </c>
      <c r="D6" s="7" t="s">
        <v>71</v>
      </c>
      <c r="E6" s="7" t="s">
        <v>44</v>
      </c>
      <c r="I6" s="9"/>
    </row>
    <row r="7" spans="1:10" x14ac:dyDescent="0.25">
      <c r="B7" s="5">
        <v>933</v>
      </c>
      <c r="C7" s="5">
        <v>194795</v>
      </c>
      <c r="D7" s="5">
        <v>545143</v>
      </c>
      <c r="E7" s="5">
        <v>3504</v>
      </c>
    </row>
    <row r="9" spans="1:10" ht="30" x14ac:dyDescent="0.25">
      <c r="B9" s="7" t="s">
        <v>47</v>
      </c>
      <c r="C9" s="7" t="s">
        <v>48</v>
      </c>
      <c r="D9" s="7" t="s">
        <v>49</v>
      </c>
      <c r="E9" s="7" t="s">
        <v>50</v>
      </c>
    </row>
    <row r="10" spans="1:10" x14ac:dyDescent="0.25">
      <c r="B10" s="5">
        <f>D3*B3+D2*B2+D4*B4</f>
        <v>26826.443729903538</v>
      </c>
      <c r="C10" s="5">
        <f>C3*B3+C2*B2+C4*B4</f>
        <v>7143</v>
      </c>
      <c r="D10" s="5">
        <f>C10*(C7/B10)</f>
        <v>51867.504280821922</v>
      </c>
      <c r="E10" s="5">
        <f>C10*(D7/B10)</f>
        <v>145153.65839041094</v>
      </c>
    </row>
    <row r="12" spans="1:10" ht="30" x14ac:dyDescent="0.25">
      <c r="A12" s="17" t="s">
        <v>40</v>
      </c>
      <c r="B12" s="7" t="s">
        <v>69</v>
      </c>
    </row>
    <row r="13" spans="1:10" x14ac:dyDescent="0.25">
      <c r="A13" s="11">
        <v>45323</v>
      </c>
      <c r="B13" s="5">
        <f>'hotel overnightstay customcurve'!D20</f>
        <v>42774</v>
      </c>
      <c r="F13" s="3"/>
      <c r="G13" s="3"/>
    </row>
    <row r="14" spans="1:10" x14ac:dyDescent="0.25">
      <c r="A14" s="11">
        <v>45505</v>
      </c>
      <c r="B14" s="8">
        <f>'hotel overnightstay customcurve'!D26</f>
        <v>206231</v>
      </c>
    </row>
    <row r="15" spans="1:10" x14ac:dyDescent="0.25">
      <c r="A15" s="11">
        <v>45597</v>
      </c>
      <c r="B15" s="8">
        <f>'hotel overnightstay customcurve'!D29</f>
        <v>36085</v>
      </c>
    </row>
    <row r="18" spans="2:2" ht="30" x14ac:dyDescent="0.25">
      <c r="B18" s="7" t="s">
        <v>68</v>
      </c>
    </row>
    <row r="19" spans="2:2" x14ac:dyDescent="0.25">
      <c r="B19" s="5">
        <f>SUM('hotel overnightstay customcurve'!D19:D30)</f>
        <v>1037443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1C70-BDDC-476C-B2B3-C93856938E4D}">
  <dimension ref="A1:J44"/>
  <sheetViews>
    <sheetView topLeftCell="A10" zoomScaleNormal="100" workbookViewId="0">
      <selection activeCell="A41" sqref="A41:B44"/>
    </sheetView>
  </sheetViews>
  <sheetFormatPr baseColWidth="10" defaultRowHeight="15" x14ac:dyDescent="0.25"/>
  <cols>
    <col min="2" max="2" width="41.85546875" bestFit="1" customWidth="1"/>
    <col min="3" max="3" width="46.7109375" bestFit="1" customWidth="1"/>
    <col min="4" max="4" width="47.28515625" bestFit="1" customWidth="1"/>
    <col min="5" max="5" width="42.42578125" bestFit="1" customWidth="1"/>
    <col min="6" max="6" width="54.5703125" bestFit="1" customWidth="1"/>
    <col min="7" max="7" width="48.42578125" bestFit="1" customWidth="1"/>
    <col min="8" max="8" width="16.85546875" bestFit="1" customWidth="1"/>
    <col min="9" max="9" width="44" bestFit="1" customWidth="1"/>
    <col min="10" max="10" width="46.28515625" bestFit="1" customWidth="1"/>
  </cols>
  <sheetData>
    <row r="1" spans="1:10" ht="30" x14ac:dyDescent="0.25">
      <c r="A1" s="17" t="s">
        <v>40</v>
      </c>
      <c r="B1" s="7" t="s">
        <v>4</v>
      </c>
      <c r="C1" s="7" t="s">
        <v>45</v>
      </c>
      <c r="D1" s="7" t="s">
        <v>72</v>
      </c>
      <c r="E1" s="7" t="s">
        <v>73</v>
      </c>
      <c r="F1" s="7" t="s">
        <v>51</v>
      </c>
      <c r="G1" s="7" t="s">
        <v>74</v>
      </c>
      <c r="H1" s="7" t="s">
        <v>41</v>
      </c>
      <c r="I1" s="7" t="s">
        <v>52</v>
      </c>
      <c r="J1" s="7" t="s">
        <v>75</v>
      </c>
    </row>
    <row r="2" spans="1:10" x14ac:dyDescent="0.25">
      <c r="A2" s="11">
        <v>45323</v>
      </c>
      <c r="B2" s="8">
        <v>4</v>
      </c>
      <c r="C2" s="8">
        <f>campgrounds!C26</f>
        <v>0</v>
      </c>
      <c r="D2" s="8">
        <f>$E$7*(C2/$B$7)</f>
        <v>0</v>
      </c>
      <c r="E2" s="8">
        <f>(C2/$C$10)*$D$10</f>
        <v>0</v>
      </c>
      <c r="F2" s="8">
        <f>IF(C2&gt;0, ((B13/$B$19)*$E$10), 0)</f>
        <v>0</v>
      </c>
      <c r="G2" s="16" t="e">
        <f>F2/E2</f>
        <v>#DIV/0!</v>
      </c>
      <c r="H2" s="8">
        <v>29</v>
      </c>
      <c r="I2" s="8" t="e">
        <f>E2/(H2/(F2/E2))</f>
        <v>#DIV/0!</v>
      </c>
      <c r="J2" s="8">
        <f>(E2/H2)*2</f>
        <v>0</v>
      </c>
    </row>
    <row r="3" spans="1:10" x14ac:dyDescent="0.25">
      <c r="A3" s="11">
        <v>45505</v>
      </c>
      <c r="B3" s="8">
        <v>5</v>
      </c>
      <c r="C3" s="8">
        <f>campgrounds!C28</f>
        <v>579</v>
      </c>
      <c r="D3" s="8">
        <f>$E$7*(C3/$B$7)</f>
        <v>3504</v>
      </c>
      <c r="E3" s="8">
        <f>(C3/$C$10)*$D$10</f>
        <v>6437.5744863013697</v>
      </c>
      <c r="F3" s="8">
        <f>IF(C3&gt;0, ((B14/$B$19)*$E$10), 0)</f>
        <v>17992.695349395013</v>
      </c>
      <c r="G3" s="16">
        <f>F3/E3</f>
        <v>2.7949494623607061</v>
      </c>
      <c r="H3" s="8">
        <v>31</v>
      </c>
      <c r="I3" s="8">
        <f>E3/(H3/(F3/E3))</f>
        <v>580.40952739983902</v>
      </c>
      <c r="J3" s="8">
        <f>(E3/H3)*2</f>
        <v>415.3273862129916</v>
      </c>
    </row>
    <row r="4" spans="1:10" x14ac:dyDescent="0.25">
      <c r="A4" s="11">
        <v>45597</v>
      </c>
      <c r="B4" s="8">
        <v>3</v>
      </c>
      <c r="C4" s="8">
        <f>campgrounds!C30</f>
        <v>0</v>
      </c>
      <c r="D4" s="8">
        <f>$E$7*(C4/$B$7)</f>
        <v>0</v>
      </c>
      <c r="E4" s="8">
        <f>(C4/$C$10)*$D$10</f>
        <v>0</v>
      </c>
      <c r="F4" s="8">
        <f>IF(C4&gt;0, ((B15/$B$19)*$E$10), 0)</f>
        <v>0</v>
      </c>
      <c r="G4" s="16" t="e">
        <f>F4/E4</f>
        <v>#DIV/0!</v>
      </c>
      <c r="H4" s="8">
        <v>30</v>
      </c>
      <c r="I4" s="8" t="e">
        <f>E4/(H4/(F4/E4))</f>
        <v>#DIV/0!</v>
      </c>
      <c r="J4" s="8">
        <f>(E4/H4)*2</f>
        <v>0</v>
      </c>
    </row>
    <row r="5" spans="1:10" x14ac:dyDescent="0.25">
      <c r="D5" s="2"/>
    </row>
    <row r="6" spans="1:10" ht="30" x14ac:dyDescent="0.25">
      <c r="B6" s="7" t="s">
        <v>46</v>
      </c>
      <c r="C6" s="7" t="s">
        <v>70</v>
      </c>
      <c r="D6" s="7" t="s">
        <v>71</v>
      </c>
      <c r="E6" s="7" t="s">
        <v>44</v>
      </c>
      <c r="H6" s="9"/>
    </row>
    <row r="7" spans="1:10" x14ac:dyDescent="0.25">
      <c r="B7" s="5">
        <v>579</v>
      </c>
      <c r="C7" s="5">
        <v>194795</v>
      </c>
      <c r="D7" s="5">
        <v>545143</v>
      </c>
      <c r="E7" s="5">
        <v>3504</v>
      </c>
    </row>
    <row r="9" spans="1:10" ht="30" x14ac:dyDescent="0.25">
      <c r="B9" s="7" t="s">
        <v>47</v>
      </c>
      <c r="C9" s="7" t="s">
        <v>48</v>
      </c>
      <c r="D9" s="7" t="s">
        <v>49</v>
      </c>
      <c r="E9" s="7" t="s">
        <v>50</v>
      </c>
    </row>
    <row r="10" spans="1:10" x14ac:dyDescent="0.25">
      <c r="B10" s="5">
        <f>D3*B3+D2*B2+D4*B4</f>
        <v>17520</v>
      </c>
      <c r="C10" s="5">
        <f>C3*B3+C2*B2+C4*B4</f>
        <v>2895</v>
      </c>
      <c r="D10" s="5">
        <f>C10*(C7/B10)</f>
        <v>32187.872431506847</v>
      </c>
      <c r="E10" s="5">
        <f>C10*(D7/B10)</f>
        <v>90079.27996575342</v>
      </c>
    </row>
    <row r="12" spans="1:10" ht="30" x14ac:dyDescent="0.25">
      <c r="A12" s="17" t="s">
        <v>40</v>
      </c>
      <c r="B12" s="7" t="s">
        <v>69</v>
      </c>
    </row>
    <row r="13" spans="1:10" x14ac:dyDescent="0.25">
      <c r="A13" s="11">
        <v>45323</v>
      </c>
      <c r="B13" s="5">
        <f>'hotel overnightstay customcurve'!D36</f>
        <v>30547</v>
      </c>
      <c r="F13" s="3"/>
    </row>
    <row r="14" spans="1:10" x14ac:dyDescent="0.25">
      <c r="A14" s="11">
        <v>45505</v>
      </c>
      <c r="B14" s="8">
        <f>'hotel overnightstay customcurve'!D42</f>
        <v>137039</v>
      </c>
    </row>
    <row r="15" spans="1:10" x14ac:dyDescent="0.25">
      <c r="A15" s="11">
        <v>45597</v>
      </c>
      <c r="B15" s="8">
        <f>'hotel overnightstay customcurve'!D45</f>
        <v>19650</v>
      </c>
    </row>
    <row r="18" spans="1:8" ht="30" x14ac:dyDescent="0.25">
      <c r="B18" s="7" t="s">
        <v>68</v>
      </c>
    </row>
    <row r="19" spans="1:8" x14ac:dyDescent="0.25">
      <c r="B19" s="5">
        <f>SUM('hotel overnightstay customcurve'!D35:D46)</f>
        <v>686077</v>
      </c>
    </row>
    <row r="26" spans="1:8" ht="30" customHeight="1" x14ac:dyDescent="0.25">
      <c r="A26" s="5" t="s">
        <v>40</v>
      </c>
      <c r="B26" s="5" t="s">
        <v>107</v>
      </c>
      <c r="C26" s="5" t="s">
        <v>108</v>
      </c>
      <c r="D26" s="5" t="s">
        <v>109</v>
      </c>
      <c r="E26" s="7" t="s">
        <v>52</v>
      </c>
      <c r="F26" s="7" t="s">
        <v>75</v>
      </c>
      <c r="G26" s="7" t="s">
        <v>110</v>
      </c>
      <c r="H26" s="4"/>
    </row>
    <row r="27" spans="1:8" x14ac:dyDescent="0.25">
      <c r="A27" s="40">
        <v>45505</v>
      </c>
      <c r="B27" s="5" t="s">
        <v>105</v>
      </c>
      <c r="C27" s="5">
        <v>110</v>
      </c>
      <c r="D27" s="6">
        <f>C27/$C$3</f>
        <v>0.18998272884283246</v>
      </c>
      <c r="E27" s="8">
        <f>D27*$I$3</f>
        <v>110.26778586180015</v>
      </c>
      <c r="F27" s="8">
        <f>D27*$J$3</f>
        <v>78.905030195905141</v>
      </c>
      <c r="G27" s="8">
        <f>F27/2</f>
        <v>39.45251509795257</v>
      </c>
    </row>
    <row r="28" spans="1:8" x14ac:dyDescent="0.25">
      <c r="A28" s="40"/>
      <c r="B28" s="5" t="s">
        <v>106</v>
      </c>
      <c r="C28" s="5">
        <v>140</v>
      </c>
      <c r="D28" s="6">
        <f t="shared" ref="D28:D30" si="0">C28/$C$3</f>
        <v>0.24179620034542315</v>
      </c>
      <c r="E28" s="8">
        <f t="shared" ref="E28:E30" si="1">D28*$I$3</f>
        <v>140.34081836956383</v>
      </c>
      <c r="F28" s="8">
        <f t="shared" ref="F28:F30" si="2">D28*$J$3</f>
        <v>100.42458388569746</v>
      </c>
      <c r="G28" s="8">
        <f t="shared" ref="G28:G30" si="3">F28/2</f>
        <v>50.212291942848729</v>
      </c>
    </row>
    <row r="29" spans="1:8" x14ac:dyDescent="0.25">
      <c r="A29" s="40"/>
      <c r="B29" s="5" t="s">
        <v>91</v>
      </c>
      <c r="C29" s="5">
        <v>130</v>
      </c>
      <c r="D29" s="6">
        <f t="shared" si="0"/>
        <v>0.22452504317789293</v>
      </c>
      <c r="E29" s="8">
        <f t="shared" si="1"/>
        <v>130.31647420030927</v>
      </c>
      <c r="F29" s="8">
        <f t="shared" si="2"/>
        <v>93.251399322433357</v>
      </c>
      <c r="G29" s="8">
        <f t="shared" si="3"/>
        <v>46.625699661216679</v>
      </c>
    </row>
    <row r="30" spans="1:8" x14ac:dyDescent="0.25">
      <c r="A30" s="40"/>
      <c r="B30" s="5" t="s">
        <v>93</v>
      </c>
      <c r="C30" s="5">
        <v>199</v>
      </c>
      <c r="D30" s="6">
        <f t="shared" si="0"/>
        <v>0.34369602763385149</v>
      </c>
      <c r="E30" s="8">
        <f t="shared" si="1"/>
        <v>199.48444896816576</v>
      </c>
      <c r="F30" s="8">
        <f t="shared" si="2"/>
        <v>142.74637280895567</v>
      </c>
      <c r="G30" s="8">
        <f t="shared" si="3"/>
        <v>71.373186404477835</v>
      </c>
    </row>
    <row r="32" spans="1:8" x14ac:dyDescent="0.25">
      <c r="B32" s="5" t="s">
        <v>111</v>
      </c>
      <c r="C32" s="5" t="s">
        <v>125</v>
      </c>
    </row>
    <row r="33" spans="1:7" x14ac:dyDescent="0.25">
      <c r="B33" s="6">
        <v>0.745</v>
      </c>
      <c r="C33" s="12">
        <v>0.4</v>
      </c>
    </row>
    <row r="35" spans="1:7" ht="30" customHeight="1" x14ac:dyDescent="0.25">
      <c r="A35" s="5" t="s">
        <v>40</v>
      </c>
      <c r="B35" s="5" t="s">
        <v>107</v>
      </c>
      <c r="C35" s="7" t="s">
        <v>112</v>
      </c>
      <c r="D35" s="7" t="s">
        <v>113</v>
      </c>
      <c r="E35" s="7" t="s">
        <v>146</v>
      </c>
      <c r="F35" s="7" t="s">
        <v>140</v>
      </c>
      <c r="G35" s="7" t="s">
        <v>142</v>
      </c>
    </row>
    <row r="36" spans="1:7" x14ac:dyDescent="0.25">
      <c r="A36" s="40">
        <v>45505</v>
      </c>
      <c r="B36" s="5" t="s">
        <v>105</v>
      </c>
      <c r="C36" s="8">
        <f>G27*$B$33*$C$33</f>
        <v>11.756849499189867</v>
      </c>
      <c r="D36" s="8">
        <f>G27*$B$33*(1-$C$33)</f>
        <v>17.6352742487848</v>
      </c>
      <c r="E36" s="8">
        <f>(E27-G27)*$B$33*2</f>
        <v>105.51475343813289</v>
      </c>
      <c r="F36" s="8">
        <f>E36/2/7</f>
        <v>7.5367681027237774</v>
      </c>
      <c r="G36" s="8">
        <f>E36/2/5</f>
        <v>10.551475343813289</v>
      </c>
    </row>
    <row r="37" spans="1:7" x14ac:dyDescent="0.25">
      <c r="A37" s="40"/>
      <c r="B37" s="5" t="s">
        <v>106</v>
      </c>
      <c r="C37" s="8">
        <f>G28*$B$33*$C$33</f>
        <v>14.963262998968922</v>
      </c>
      <c r="D37" s="8">
        <f>G28*$B$33*(1-$C$33)</f>
        <v>22.44489449845338</v>
      </c>
      <c r="E37" s="8">
        <f t="shared" ref="E37:E39" si="4">(E28-G28)*$B$33*2</f>
        <v>134.29150437580549</v>
      </c>
      <c r="F37" s="8">
        <f t="shared" ref="F37:F38" si="5">E37/2/7</f>
        <v>9.5922503125575354</v>
      </c>
      <c r="G37" s="8">
        <f t="shared" ref="G37:G39" si="6">E37/2/5</f>
        <v>13.429150437580549</v>
      </c>
    </row>
    <row r="38" spans="1:7" x14ac:dyDescent="0.25">
      <c r="A38" s="40"/>
      <c r="B38" s="5" t="s">
        <v>91</v>
      </c>
      <c r="C38" s="8">
        <f>G29*$B$33*$C$33</f>
        <v>13.894458499042571</v>
      </c>
      <c r="D38" s="8">
        <f>G29*$B$33*(1-$C$33)</f>
        <v>20.841687748563857</v>
      </c>
      <c r="E38" s="8">
        <f>(E29-G29)*$B$33*2</f>
        <v>124.69925406324795</v>
      </c>
      <c r="F38" s="8">
        <f t="shared" si="5"/>
        <v>8.9070895759462818</v>
      </c>
      <c r="G38" s="8">
        <f>E38/2/5</f>
        <v>12.469925406324794</v>
      </c>
    </row>
    <row r="39" spans="1:7" x14ac:dyDescent="0.25">
      <c r="A39" s="40"/>
      <c r="B39" s="5" t="s">
        <v>93</v>
      </c>
      <c r="C39" s="8">
        <f>G30*$B$33*$C$33</f>
        <v>21.269209548534395</v>
      </c>
      <c r="D39" s="8">
        <f>G30*$B$33*(1-$C$33)</f>
        <v>31.90381432280159</v>
      </c>
      <c r="E39" s="8">
        <f t="shared" si="4"/>
        <v>190.88578121989502</v>
      </c>
      <c r="F39" s="8">
        <f>E39/2/7</f>
        <v>13.634698658563931</v>
      </c>
      <c r="G39" s="8">
        <f t="shared" si="6"/>
        <v>19.088578121989503</v>
      </c>
    </row>
    <row r="41" spans="1:7" x14ac:dyDescent="0.25">
      <c r="A41" s="5" t="s">
        <v>40</v>
      </c>
      <c r="B41" s="5" t="s">
        <v>136</v>
      </c>
    </row>
    <row r="42" spans="1:7" x14ac:dyDescent="0.25">
      <c r="A42" s="11">
        <v>45323</v>
      </c>
      <c r="B42" s="8"/>
    </row>
    <row r="43" spans="1:7" x14ac:dyDescent="0.25">
      <c r="A43" s="11">
        <v>45505</v>
      </c>
      <c r="B43" s="8">
        <f>(12+15+14+21)*2+((8+10+9+14)*7)*2+(11+12+13+12+19)*5</f>
        <v>1033</v>
      </c>
    </row>
    <row r="44" spans="1:7" x14ac:dyDescent="0.25">
      <c r="A44" s="11">
        <v>45597</v>
      </c>
      <c r="B44" s="8"/>
    </row>
  </sheetData>
  <mergeCells count="2">
    <mergeCell ref="A27:A30"/>
    <mergeCell ref="A36:A39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33E7-20C2-45F0-84E9-3327CBFEC6AF}">
  <dimension ref="A1:L23"/>
  <sheetViews>
    <sheetView topLeftCell="B1" workbookViewId="0">
      <selection activeCell="D32" sqref="D32"/>
    </sheetView>
  </sheetViews>
  <sheetFormatPr baseColWidth="10" defaultRowHeight="15" x14ac:dyDescent="0.25"/>
  <cols>
    <col min="2" max="2" width="35.140625" bestFit="1" customWidth="1"/>
    <col min="3" max="3" width="26.5703125" bestFit="1" customWidth="1"/>
    <col min="4" max="4" width="44" bestFit="1" customWidth="1"/>
    <col min="5" max="6" width="11.42578125" customWidth="1"/>
    <col min="7" max="7" width="14.5703125" bestFit="1" customWidth="1"/>
    <col min="8" max="10" width="11.42578125" customWidth="1"/>
    <col min="12" max="13" width="11.42578125" customWidth="1"/>
  </cols>
  <sheetData>
    <row r="1" spans="1:12" ht="30" customHeight="1" x14ac:dyDescent="0.25">
      <c r="A1" s="17" t="s">
        <v>40</v>
      </c>
      <c r="B1" s="7" t="s">
        <v>77</v>
      </c>
      <c r="C1" s="7" t="s">
        <v>76</v>
      </c>
      <c r="D1" s="7" t="s">
        <v>78</v>
      </c>
    </row>
    <row r="2" spans="1:12" x14ac:dyDescent="0.25">
      <c r="A2" s="11">
        <v>45323</v>
      </c>
      <c r="B2" s="5">
        <f>campgrounds!D12</f>
        <v>152</v>
      </c>
      <c r="C2" s="12">
        <v>0.8</v>
      </c>
      <c r="D2" s="8">
        <f>B2*C2*2</f>
        <v>243.20000000000002</v>
      </c>
      <c r="E2" s="4"/>
      <c r="F2" s="4"/>
      <c r="G2" s="4"/>
      <c r="H2" s="4"/>
      <c r="I2" s="4"/>
    </row>
    <row r="3" spans="1:12" x14ac:dyDescent="0.25">
      <c r="A3" s="11">
        <v>45505</v>
      </c>
      <c r="B3" s="5">
        <f>campgrounds!D14</f>
        <v>312</v>
      </c>
      <c r="C3" s="12">
        <v>0.8</v>
      </c>
      <c r="D3" s="8">
        <f>B3*C3*2</f>
        <v>499.20000000000005</v>
      </c>
      <c r="E3" s="9"/>
      <c r="F3" s="9"/>
      <c r="G3" s="9"/>
      <c r="H3" s="9"/>
      <c r="I3" s="9"/>
    </row>
    <row r="4" spans="1:12" x14ac:dyDescent="0.25">
      <c r="A4" s="11">
        <v>45597</v>
      </c>
      <c r="B4" s="5">
        <f>campgrounds!D16</f>
        <v>142</v>
      </c>
      <c r="C4" s="12">
        <v>0.7</v>
      </c>
      <c r="D4" s="8">
        <f t="shared" ref="D4" si="0">B4*C4*2</f>
        <v>198.79999999999998</v>
      </c>
      <c r="E4" s="9"/>
      <c r="F4" s="9"/>
      <c r="G4" s="9"/>
      <c r="H4" s="9"/>
      <c r="I4" s="9"/>
    </row>
    <row r="5" spans="1:12" x14ac:dyDescent="0.25">
      <c r="B5" s="9"/>
      <c r="C5" s="9"/>
      <c r="D5" s="9"/>
      <c r="E5" s="9"/>
      <c r="F5" s="9"/>
      <c r="G5" s="9"/>
      <c r="H5" s="9"/>
      <c r="I5" s="9"/>
    </row>
    <row r="6" spans="1:12" x14ac:dyDescent="0.25">
      <c r="D6" s="2"/>
    </row>
    <row r="7" spans="1:12" ht="30" customHeight="1" x14ac:dyDescent="0.25">
      <c r="B7" s="4"/>
      <c r="C7" s="4"/>
      <c r="D7" s="4"/>
      <c r="E7" s="4"/>
      <c r="H7" s="9"/>
    </row>
    <row r="10" spans="1:12" ht="30" customHeight="1" x14ac:dyDescent="0.25">
      <c r="B10" s="4"/>
      <c r="C10" s="4"/>
      <c r="D10" s="4"/>
      <c r="E10" s="4"/>
    </row>
    <row r="13" spans="1:12" x14ac:dyDescent="0.25">
      <c r="F13" s="3"/>
      <c r="H13" s="41"/>
      <c r="I13" s="41"/>
      <c r="J13" s="41"/>
      <c r="K13" s="41"/>
      <c r="L13" s="41"/>
    </row>
    <row r="20" spans="1:3" ht="30" customHeight="1" x14ac:dyDescent="0.25">
      <c r="C20" s="4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</sheetData>
  <mergeCells count="1">
    <mergeCell ref="H13:L1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9639-6329-49E4-A659-CB11C1B4C598}">
  <dimension ref="A1:L23"/>
  <sheetViews>
    <sheetView workbookViewId="0">
      <selection sqref="A1:D1"/>
    </sheetView>
  </sheetViews>
  <sheetFormatPr baseColWidth="10" defaultRowHeight="15" x14ac:dyDescent="0.25"/>
  <cols>
    <col min="2" max="2" width="35.140625" bestFit="1" customWidth="1"/>
    <col min="3" max="3" width="26.5703125" bestFit="1" customWidth="1"/>
    <col min="4" max="4" width="44" bestFit="1" customWidth="1"/>
    <col min="5" max="6" width="11.42578125" customWidth="1"/>
    <col min="7" max="7" width="14.5703125" bestFit="1" customWidth="1"/>
    <col min="8" max="10" width="11.42578125" customWidth="1"/>
    <col min="12" max="13" width="11.42578125" customWidth="1"/>
  </cols>
  <sheetData>
    <row r="1" spans="1:12" ht="30" customHeight="1" x14ac:dyDescent="0.25">
      <c r="A1" s="17" t="s">
        <v>40</v>
      </c>
      <c r="B1" s="7" t="s">
        <v>77</v>
      </c>
      <c r="C1" s="7" t="s">
        <v>76</v>
      </c>
      <c r="D1" s="7" t="s">
        <v>78</v>
      </c>
    </row>
    <row r="2" spans="1:12" x14ac:dyDescent="0.25">
      <c r="A2" s="11">
        <v>45323</v>
      </c>
      <c r="B2" s="5">
        <f>campgrounds!D19</f>
        <v>142</v>
      </c>
      <c r="C2" s="12">
        <v>0.8</v>
      </c>
      <c r="D2" s="8">
        <f>B2*C2*2</f>
        <v>227.20000000000002</v>
      </c>
      <c r="E2" s="4"/>
      <c r="F2" s="4"/>
      <c r="G2" s="4"/>
      <c r="H2" s="4"/>
      <c r="I2" s="4"/>
    </row>
    <row r="3" spans="1:12" x14ac:dyDescent="0.25">
      <c r="A3" s="11">
        <v>45505</v>
      </c>
      <c r="B3" s="5">
        <f>campgrounds!D21</f>
        <v>282</v>
      </c>
      <c r="C3" s="12">
        <v>0.8</v>
      </c>
      <c r="D3" s="8">
        <f t="shared" ref="D3:D4" si="0">B3*C3*2</f>
        <v>451.20000000000005</v>
      </c>
      <c r="E3" s="9"/>
      <c r="F3" s="9"/>
      <c r="G3" s="9"/>
      <c r="H3" s="9"/>
      <c r="I3" s="9"/>
    </row>
    <row r="4" spans="1:12" x14ac:dyDescent="0.25">
      <c r="A4" s="11">
        <v>45597</v>
      </c>
      <c r="B4" s="5">
        <f>campgrounds!D23</f>
        <v>142</v>
      </c>
      <c r="C4" s="12">
        <v>0.7</v>
      </c>
      <c r="D4" s="8">
        <f t="shared" si="0"/>
        <v>198.79999999999998</v>
      </c>
      <c r="E4" s="9"/>
      <c r="F4" s="9"/>
      <c r="G4" s="9"/>
      <c r="H4" s="9"/>
      <c r="I4" s="9"/>
    </row>
    <row r="5" spans="1:12" x14ac:dyDescent="0.25">
      <c r="B5" s="9"/>
      <c r="C5" s="9"/>
      <c r="D5" s="9"/>
      <c r="E5" s="9"/>
      <c r="F5" s="9"/>
      <c r="G5" s="9"/>
      <c r="H5" s="9"/>
      <c r="I5" s="9"/>
    </row>
    <row r="6" spans="1:12" x14ac:dyDescent="0.25">
      <c r="D6" s="2"/>
    </row>
    <row r="7" spans="1:12" ht="30" customHeight="1" x14ac:dyDescent="0.25">
      <c r="B7" s="4"/>
      <c r="C7" s="4"/>
      <c r="D7" s="4"/>
      <c r="E7" s="4"/>
      <c r="H7" s="9"/>
    </row>
    <row r="10" spans="1:12" ht="30" customHeight="1" x14ac:dyDescent="0.25">
      <c r="B10" s="4"/>
      <c r="C10" s="4"/>
      <c r="D10" s="4"/>
      <c r="E10" s="4"/>
    </row>
    <row r="13" spans="1:12" x14ac:dyDescent="0.25">
      <c r="F13" s="3"/>
      <c r="H13" s="41"/>
      <c r="I13" s="41"/>
      <c r="J13" s="41"/>
      <c r="K13" s="41"/>
      <c r="L13" s="41"/>
    </row>
    <row r="20" spans="1:3" ht="30" customHeight="1" x14ac:dyDescent="0.25">
      <c r="C20" s="4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</sheetData>
  <mergeCells count="1">
    <mergeCell ref="H13:L1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4BCE-09D9-48E7-B77E-D553AD0DE31F}">
  <dimension ref="A1:L23"/>
  <sheetViews>
    <sheetView workbookViewId="0">
      <selection activeCell="A16" sqref="A16:B19"/>
    </sheetView>
  </sheetViews>
  <sheetFormatPr baseColWidth="10" defaultRowHeight="15" x14ac:dyDescent="0.25"/>
  <cols>
    <col min="2" max="2" width="35.140625" bestFit="1" customWidth="1"/>
    <col min="3" max="3" width="26.5703125" bestFit="1" customWidth="1"/>
    <col min="4" max="4" width="44" bestFit="1" customWidth="1"/>
    <col min="5" max="5" width="20.42578125" bestFit="1" customWidth="1"/>
    <col min="6" max="6" width="11.42578125" customWidth="1"/>
    <col min="7" max="7" width="14.5703125" bestFit="1" customWidth="1"/>
    <col min="8" max="8" width="16.7109375" bestFit="1" customWidth="1"/>
    <col min="9" max="10" width="11.42578125" customWidth="1"/>
    <col min="12" max="13" width="11.42578125" customWidth="1"/>
  </cols>
  <sheetData>
    <row r="1" spans="1:12" ht="30" customHeight="1" x14ac:dyDescent="0.25">
      <c r="A1" s="17" t="s">
        <v>40</v>
      </c>
      <c r="B1" s="7" t="s">
        <v>77</v>
      </c>
      <c r="C1" s="7" t="s">
        <v>76</v>
      </c>
      <c r="D1" s="7" t="s">
        <v>78</v>
      </c>
    </row>
    <row r="2" spans="1:12" x14ac:dyDescent="0.25">
      <c r="A2" s="11">
        <v>45323</v>
      </c>
      <c r="B2" s="5">
        <f>campgrounds!D26</f>
        <v>0</v>
      </c>
      <c r="C2" s="12">
        <v>0.8</v>
      </c>
      <c r="D2" s="8">
        <f>B2*C2*2</f>
        <v>0</v>
      </c>
      <c r="E2" s="4"/>
      <c r="F2" s="4"/>
      <c r="G2" s="4"/>
      <c r="H2" s="4"/>
      <c r="I2" s="4"/>
    </row>
    <row r="3" spans="1:12" x14ac:dyDescent="0.25">
      <c r="A3" s="11">
        <v>45505</v>
      </c>
      <c r="B3" s="5">
        <f>campgrounds!D28</f>
        <v>140</v>
      </c>
      <c r="C3" s="12">
        <v>0.8</v>
      </c>
      <c r="D3" s="8">
        <f t="shared" ref="D3:D4" si="0">B3*C3*2</f>
        <v>224</v>
      </c>
      <c r="E3" s="9"/>
      <c r="F3" s="9"/>
      <c r="G3" s="9"/>
      <c r="H3" s="9"/>
      <c r="I3" s="9"/>
    </row>
    <row r="4" spans="1:12" x14ac:dyDescent="0.25">
      <c r="A4" s="11">
        <v>45597</v>
      </c>
      <c r="B4" s="5">
        <f>campgrounds!D30</f>
        <v>0</v>
      </c>
      <c r="C4" s="12">
        <v>0.7</v>
      </c>
      <c r="D4" s="8">
        <f t="shared" si="0"/>
        <v>0</v>
      </c>
      <c r="E4" s="9"/>
      <c r="F4" s="9"/>
      <c r="G4" s="9"/>
      <c r="H4" s="9"/>
      <c r="I4" s="9"/>
    </row>
    <row r="5" spans="1:12" x14ac:dyDescent="0.25">
      <c r="B5" s="9"/>
      <c r="C5" s="9"/>
      <c r="D5" s="9"/>
      <c r="E5" s="9"/>
      <c r="F5" s="9"/>
      <c r="G5" s="9"/>
      <c r="H5" s="9"/>
      <c r="I5" s="9"/>
    </row>
    <row r="6" spans="1:12" x14ac:dyDescent="0.25">
      <c r="B6" s="5" t="s">
        <v>111</v>
      </c>
      <c r="C6" s="5" t="s">
        <v>115</v>
      </c>
      <c r="D6" s="2"/>
    </row>
    <row r="7" spans="1:12" ht="30" customHeight="1" x14ac:dyDescent="0.25">
      <c r="B7" s="6">
        <v>0.745</v>
      </c>
      <c r="C7" s="30">
        <v>0.28570000000000001</v>
      </c>
      <c r="D7" s="4"/>
      <c r="E7" s="4"/>
      <c r="H7" s="9"/>
    </row>
    <row r="10" spans="1:12" ht="30" customHeight="1" x14ac:dyDescent="0.25">
      <c r="A10" s="5" t="s">
        <v>40</v>
      </c>
      <c r="B10" s="5" t="s">
        <v>107</v>
      </c>
      <c r="C10" s="5" t="s">
        <v>108</v>
      </c>
      <c r="D10" s="7" t="s">
        <v>114</v>
      </c>
      <c r="E10" s="7" t="s">
        <v>116</v>
      </c>
      <c r="F10" s="7" t="s">
        <v>118</v>
      </c>
      <c r="G10" s="7" t="s">
        <v>119</v>
      </c>
      <c r="H10" s="7" t="s">
        <v>117</v>
      </c>
    </row>
    <row r="11" spans="1:12" x14ac:dyDescent="0.25">
      <c r="A11" s="40">
        <v>45505</v>
      </c>
      <c r="B11" s="5" t="s">
        <v>105</v>
      </c>
      <c r="C11" s="5">
        <v>10</v>
      </c>
      <c r="D11" s="5">
        <f>C11*$C$3*2</f>
        <v>16</v>
      </c>
      <c r="E11" s="8">
        <f>D11*(2-$C$7)*$B$7</f>
        <v>20.434456000000001</v>
      </c>
      <c r="F11" s="8">
        <f>E11/2/7</f>
        <v>1.4596040000000001</v>
      </c>
      <c r="G11" s="8">
        <f>E11/2/5</f>
        <v>2.0434456000000001</v>
      </c>
      <c r="H11" s="8">
        <f>D11*$C$7*$B$7</f>
        <v>3.4055439999999999</v>
      </c>
    </row>
    <row r="12" spans="1:12" x14ac:dyDescent="0.25">
      <c r="A12" s="40"/>
      <c r="B12" s="5" t="s">
        <v>106</v>
      </c>
      <c r="C12" s="5">
        <v>10</v>
      </c>
      <c r="D12" s="5">
        <f t="shared" ref="D12:D14" si="1">C12*$C$3*2</f>
        <v>16</v>
      </c>
      <c r="E12" s="8">
        <f>D12*(2-$C$7)*$B$7</f>
        <v>20.434456000000001</v>
      </c>
      <c r="F12" s="8">
        <f>E12/2/7</f>
        <v>1.4596040000000001</v>
      </c>
      <c r="G12" s="8">
        <f t="shared" ref="G12:G14" si="2">E12/2/5</f>
        <v>2.0434456000000001</v>
      </c>
      <c r="H12" s="8">
        <f t="shared" ref="H12:H14" si="3">D12*$C$7*$B$7</f>
        <v>3.4055439999999999</v>
      </c>
    </row>
    <row r="13" spans="1:12" x14ac:dyDescent="0.25">
      <c r="A13" s="40"/>
      <c r="B13" s="5" t="s">
        <v>91</v>
      </c>
      <c r="C13" s="5">
        <v>120</v>
      </c>
      <c r="D13" s="5">
        <f t="shared" si="1"/>
        <v>192</v>
      </c>
      <c r="E13" s="8">
        <f t="shared" ref="E13:E14" si="4">D13*(2-$C$7)*$B$7</f>
        <v>245.213472</v>
      </c>
      <c r="F13" s="8">
        <f>E13/2/7</f>
        <v>17.515248</v>
      </c>
      <c r="G13" s="8">
        <f t="shared" si="2"/>
        <v>24.521347200000001</v>
      </c>
      <c r="H13" s="8">
        <f t="shared" si="3"/>
        <v>40.866527999999995</v>
      </c>
      <c r="I13" s="3"/>
      <c r="J13" s="3"/>
      <c r="K13" s="3"/>
      <c r="L13" s="3"/>
    </row>
    <row r="14" spans="1:12" x14ac:dyDescent="0.25">
      <c r="A14" s="40"/>
      <c r="B14" s="5" t="s">
        <v>93</v>
      </c>
      <c r="C14" s="5">
        <v>0</v>
      </c>
      <c r="D14" s="5">
        <f t="shared" si="1"/>
        <v>0</v>
      </c>
      <c r="E14" s="31">
        <f t="shared" si="4"/>
        <v>0</v>
      </c>
      <c r="F14" s="8">
        <f>E14/2/7</f>
        <v>0</v>
      </c>
      <c r="G14" s="8">
        <f t="shared" si="2"/>
        <v>0</v>
      </c>
      <c r="H14" s="8">
        <f t="shared" si="3"/>
        <v>0</v>
      </c>
    </row>
    <row r="15" spans="1:12" x14ac:dyDescent="0.25">
      <c r="E15" s="32"/>
    </row>
    <row r="16" spans="1:12" x14ac:dyDescent="0.25">
      <c r="A16" s="5" t="s">
        <v>40</v>
      </c>
      <c r="B16" s="5" t="s">
        <v>136</v>
      </c>
    </row>
    <row r="17" spans="1:3" x14ac:dyDescent="0.25">
      <c r="A17" s="11">
        <v>45323</v>
      </c>
      <c r="B17" s="8"/>
    </row>
    <row r="18" spans="1:3" x14ac:dyDescent="0.25">
      <c r="A18" s="11">
        <v>45505</v>
      </c>
      <c r="B18" s="8">
        <f>(3+3+41+0)*2+((2+2+25+0)*7)*2+(1+1+1+18+0)*5</f>
        <v>605</v>
      </c>
    </row>
    <row r="19" spans="1:3" x14ac:dyDescent="0.25">
      <c r="A19" s="11">
        <v>45597</v>
      </c>
      <c r="B19" s="8"/>
    </row>
    <row r="20" spans="1:3" ht="30" customHeight="1" x14ac:dyDescent="0.25">
      <c r="C20" s="4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</sheetData>
  <mergeCells count="1">
    <mergeCell ref="A11:A14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35DE-474F-410C-9C0B-D3061C92340C}">
  <dimension ref="A1:I4"/>
  <sheetViews>
    <sheetView workbookViewId="0">
      <selection activeCell="G22" sqref="G22"/>
    </sheetView>
  </sheetViews>
  <sheetFormatPr baseColWidth="10" defaultRowHeight="15" x14ac:dyDescent="0.25"/>
  <cols>
    <col min="2" max="2" width="34.140625" bestFit="1" customWidth="1"/>
    <col min="3" max="3" width="34.85546875" bestFit="1" customWidth="1"/>
    <col min="4" max="4" width="44.5703125" bestFit="1" customWidth="1"/>
    <col min="5" max="5" width="45.7109375" bestFit="1" customWidth="1"/>
    <col min="6" max="6" width="37.7109375" bestFit="1" customWidth="1"/>
    <col min="7" max="7" width="44.140625" bestFit="1" customWidth="1"/>
    <col min="8" max="8" width="33.42578125" bestFit="1" customWidth="1"/>
    <col min="9" max="9" width="32.42578125" bestFit="1" customWidth="1"/>
  </cols>
  <sheetData>
    <row r="1" spans="1:9" ht="30" customHeight="1" x14ac:dyDescent="0.25">
      <c r="A1" s="17" t="s">
        <v>40</v>
      </c>
      <c r="B1" s="7" t="s">
        <v>58</v>
      </c>
      <c r="C1" s="7" t="s">
        <v>66</v>
      </c>
      <c r="D1" s="7" t="s">
        <v>51</v>
      </c>
      <c r="E1" s="7" t="s">
        <v>135</v>
      </c>
      <c r="F1" s="7" t="s">
        <v>79</v>
      </c>
      <c r="G1" s="7" t="s">
        <v>80</v>
      </c>
      <c r="H1" s="7" t="s">
        <v>81</v>
      </c>
      <c r="I1" s="7" t="s">
        <v>82</v>
      </c>
    </row>
    <row r="2" spans="1:9" x14ac:dyDescent="0.25">
      <c r="A2" s="11">
        <v>45323</v>
      </c>
      <c r="B2" s="5">
        <f>'hotel alldata'!C2</f>
        <v>254496</v>
      </c>
      <c r="C2" s="8">
        <f>'non-hotel alldata'!C2</f>
        <v>131219.28369438881</v>
      </c>
      <c r="D2" s="8">
        <f>'campgrounds shortterm alldata'!F2</f>
        <v>6808.4628783301323</v>
      </c>
      <c r="E2" s="8">
        <f>'campgrounds longterm alldata'!D2*29</f>
        <v>7052.8</v>
      </c>
      <c r="F2" s="5">
        <f>B2*2+C2+D2+E2</f>
        <v>654072.546572719</v>
      </c>
      <c r="G2" s="12">
        <v>0.2</v>
      </c>
      <c r="H2" s="8">
        <f>F2*((1/(1-G2))-1)</f>
        <v>163518.13664317975</v>
      </c>
      <c r="I2" s="8">
        <f>H2/29</f>
        <v>5638.5564359717155</v>
      </c>
    </row>
    <row r="3" spans="1:9" x14ac:dyDescent="0.25">
      <c r="A3" s="11">
        <v>45505</v>
      </c>
      <c r="B3" s="5">
        <f>'hotel alldata'!C3</f>
        <v>209937</v>
      </c>
      <c r="C3" s="8">
        <f>'non-hotel alldata'!C3</f>
        <v>108244.46262789553</v>
      </c>
      <c r="D3" s="8">
        <f>'campgrounds shortterm alldata'!F3</f>
        <v>32916.847552863524</v>
      </c>
      <c r="E3" s="8">
        <f>'campgrounds longterm alldata'!D3*31</f>
        <v>15475.2</v>
      </c>
      <c r="F3" s="5">
        <f t="shared" ref="F3:F4" si="0">B3*2+C3+D3+E3</f>
        <v>576510.51018075901</v>
      </c>
      <c r="G3" s="12">
        <v>0.17</v>
      </c>
      <c r="H3" s="8">
        <f>F3*((1/(1-G3))-1)</f>
        <v>118080.46594063744</v>
      </c>
      <c r="I3" s="8">
        <f>H3/31</f>
        <v>3809.0472884076594</v>
      </c>
    </row>
    <row r="4" spans="1:9" x14ac:dyDescent="0.25">
      <c r="A4" s="11">
        <v>45597</v>
      </c>
      <c r="B4" s="5">
        <f>'hotel alldata'!C4</f>
        <v>36859</v>
      </c>
      <c r="C4" s="8">
        <f>'non-hotel alldata'!C4</f>
        <v>19004.666390400937</v>
      </c>
      <c r="D4" s="8">
        <f>'campgrounds shortterm alldata'!F4</f>
        <v>5779.2675133539906</v>
      </c>
      <c r="E4" s="8">
        <f>'campgrounds longterm alldata'!D4*30</f>
        <v>5963.9999999999991</v>
      </c>
      <c r="F4" s="5">
        <f t="shared" si="0"/>
        <v>104465.93390375492</v>
      </c>
      <c r="G4" s="12">
        <v>0.2</v>
      </c>
      <c r="H4" s="8">
        <f>F4*((1/(1-G4))-1)</f>
        <v>26116.48347593873</v>
      </c>
      <c r="I4" s="8">
        <f>H4/30</f>
        <v>870.54944919795764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9427-A38B-470D-978E-98A2CACD0B0A}">
  <dimension ref="A1:I9"/>
  <sheetViews>
    <sheetView workbookViewId="0">
      <selection activeCell="G2" sqref="G2:G4"/>
    </sheetView>
  </sheetViews>
  <sheetFormatPr baseColWidth="10" defaultRowHeight="15" x14ac:dyDescent="0.25"/>
  <cols>
    <col min="2" max="2" width="34.140625" bestFit="1" customWidth="1"/>
    <col min="3" max="3" width="34.85546875" bestFit="1" customWidth="1"/>
    <col min="4" max="4" width="44.5703125" bestFit="1" customWidth="1"/>
    <col min="5" max="5" width="45.7109375" bestFit="1" customWidth="1"/>
    <col min="6" max="6" width="37.7109375" bestFit="1" customWidth="1"/>
    <col min="7" max="7" width="44.140625" bestFit="1" customWidth="1"/>
    <col min="8" max="8" width="33.42578125" bestFit="1" customWidth="1"/>
    <col min="9" max="9" width="32.42578125" bestFit="1" customWidth="1"/>
  </cols>
  <sheetData>
    <row r="1" spans="1:9" ht="30" customHeight="1" x14ac:dyDescent="0.25">
      <c r="A1" s="17" t="s">
        <v>40</v>
      </c>
      <c r="B1" s="7" t="s">
        <v>58</v>
      </c>
      <c r="C1" s="7" t="s">
        <v>66</v>
      </c>
      <c r="D1" s="7" t="s">
        <v>51</v>
      </c>
      <c r="E1" s="29" t="s">
        <v>135</v>
      </c>
      <c r="F1" s="7" t="s">
        <v>79</v>
      </c>
      <c r="G1" s="7" t="s">
        <v>80</v>
      </c>
      <c r="H1" s="7" t="s">
        <v>81</v>
      </c>
      <c r="I1" s="7" t="s">
        <v>82</v>
      </c>
    </row>
    <row r="2" spans="1:9" x14ac:dyDescent="0.25">
      <c r="A2" s="11">
        <v>45323</v>
      </c>
      <c r="B2" s="5">
        <f>'hotel studyarea'!C2</f>
        <v>248763</v>
      </c>
      <c r="C2" s="8">
        <f>'non-hotel studyarea'!C2</f>
        <v>128263.32307646183</v>
      </c>
      <c r="D2" s="8">
        <f>'campgrounds shortterm studyarea'!F2</f>
        <v>5984.7168316634625</v>
      </c>
      <c r="E2" s="8">
        <f>'campgrounds longterm studyarea'!D2*29</f>
        <v>6588.8</v>
      </c>
      <c r="F2" s="8">
        <f>B2*2+C2+D2+E2</f>
        <v>638362.83990812534</v>
      </c>
      <c r="G2" s="12">
        <v>0.2</v>
      </c>
      <c r="H2" s="8">
        <f>F2*((1/(1-G2))-1)</f>
        <v>159590.70997703134</v>
      </c>
      <c r="I2" s="8">
        <f>H2/29</f>
        <v>5503.12793024246</v>
      </c>
    </row>
    <row r="3" spans="1:9" x14ac:dyDescent="0.25">
      <c r="A3" s="11">
        <v>45505</v>
      </c>
      <c r="B3" s="5">
        <f>'hotel studyarea'!C3</f>
        <v>206231</v>
      </c>
      <c r="C3" s="8">
        <f>'non-hotel studyarea'!C3</f>
        <v>106333.63233833731</v>
      </c>
      <c r="D3" s="8">
        <f>'campgrounds shortterm studyarea'!F3</f>
        <v>28854.77479101294</v>
      </c>
      <c r="E3" s="8">
        <f>'campgrounds longterm studyarea'!D3*31</f>
        <v>13987.2</v>
      </c>
      <c r="F3" s="8">
        <f t="shared" ref="F3:F4" si="0">B3*2+C3+D3+E3</f>
        <v>561637.60712935019</v>
      </c>
      <c r="G3" s="12">
        <v>0.17</v>
      </c>
      <c r="H3" s="8">
        <f t="shared" ref="H3:H4" si="1">F3*((1/(1-G3))-1)</f>
        <v>115034.20868914407</v>
      </c>
      <c r="I3" s="8">
        <f>H3/31</f>
        <v>3710.7809254562603</v>
      </c>
    </row>
    <row r="4" spans="1:9" x14ac:dyDescent="0.25">
      <c r="A4" s="11">
        <v>45597</v>
      </c>
      <c r="B4" s="5">
        <f>'hotel studyarea'!C4</f>
        <v>36085</v>
      </c>
      <c r="C4" s="8">
        <f>'non-hotel studyarea'!C4</f>
        <v>18605.588504778148</v>
      </c>
      <c r="D4" s="8">
        <f>'campgrounds shortterm studyarea'!F4</f>
        <v>5048.8265504880546</v>
      </c>
      <c r="E4" s="8">
        <f>'campgrounds longterm studyarea'!D4*30</f>
        <v>5963.9999999999991</v>
      </c>
      <c r="F4" s="8">
        <f t="shared" si="0"/>
        <v>101788.4150552662</v>
      </c>
      <c r="G4" s="12">
        <v>0.2</v>
      </c>
      <c r="H4" s="8">
        <f t="shared" si="1"/>
        <v>25447.103763816551</v>
      </c>
      <c r="I4" s="8">
        <f>H4/30</f>
        <v>848.23679212721834</v>
      </c>
    </row>
    <row r="6" spans="1:9" x14ac:dyDescent="0.25">
      <c r="A6" s="28"/>
    </row>
    <row r="7" spans="1:9" x14ac:dyDescent="0.25">
      <c r="A7" s="1"/>
    </row>
    <row r="8" spans="1:9" x14ac:dyDescent="0.25">
      <c r="A8" s="1"/>
    </row>
    <row r="9" spans="1:9" x14ac:dyDescent="0.25">
      <c r="A9" s="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91B4-F4FF-4789-A08F-E5551D53A818}">
  <dimension ref="A1:K21"/>
  <sheetViews>
    <sheetView workbookViewId="0">
      <selection activeCell="A13" sqref="A13:B16"/>
    </sheetView>
  </sheetViews>
  <sheetFormatPr baseColWidth="10" defaultRowHeight="15" x14ac:dyDescent="0.25"/>
  <cols>
    <col min="1" max="1" width="18.85546875" bestFit="1" customWidth="1"/>
    <col min="2" max="3" width="38.140625" bestFit="1" customWidth="1"/>
    <col min="4" max="4" width="50" bestFit="1" customWidth="1"/>
    <col min="5" max="5" width="45.7109375" bestFit="1" customWidth="1"/>
    <col min="6" max="6" width="37.7109375" bestFit="1" customWidth="1"/>
    <col min="7" max="7" width="44.140625" bestFit="1" customWidth="1"/>
    <col min="8" max="8" width="40.140625" bestFit="1" customWidth="1"/>
    <col min="9" max="9" width="33.42578125" bestFit="1" customWidth="1"/>
    <col min="10" max="10" width="32.42578125" bestFit="1" customWidth="1"/>
  </cols>
  <sheetData>
    <row r="1" spans="1:10" ht="30" customHeight="1" x14ac:dyDescent="0.25">
      <c r="A1" s="17" t="s">
        <v>40</v>
      </c>
      <c r="B1" s="7" t="s">
        <v>58</v>
      </c>
      <c r="C1" s="7" t="s">
        <v>66</v>
      </c>
      <c r="D1" s="7" t="s">
        <v>134</v>
      </c>
      <c r="E1" s="7" t="s">
        <v>135</v>
      </c>
      <c r="F1" s="7" t="s">
        <v>79</v>
      </c>
      <c r="G1" s="7" t="s">
        <v>80</v>
      </c>
      <c r="H1" s="7" t="s">
        <v>81</v>
      </c>
      <c r="I1" s="7" t="s">
        <v>82</v>
      </c>
    </row>
    <row r="2" spans="1:10" x14ac:dyDescent="0.25">
      <c r="A2" s="11">
        <v>45323</v>
      </c>
      <c r="B2" s="5">
        <f>'hotel finalarea'!C2</f>
        <v>165513</v>
      </c>
      <c r="C2" s="8">
        <f>'non-hotel finalarea'!C2</f>
        <v>85339.248169359707</v>
      </c>
      <c r="D2" s="8">
        <f>'campgrounds shortterm finalarea'!F2</f>
        <v>0</v>
      </c>
      <c r="E2" s="8">
        <f>'campgrounds longterm finalarea'!D2*29</f>
        <v>0</v>
      </c>
      <c r="F2" s="8">
        <f>B2*2+C2+D2+E2</f>
        <v>416365.24816935969</v>
      </c>
      <c r="G2" s="12">
        <v>0.2</v>
      </c>
      <c r="H2" s="8">
        <f>F2*((1/(1-G2))-1)</f>
        <v>104091.31204233992</v>
      </c>
      <c r="I2" s="8">
        <f>H2/29</f>
        <v>3589.3555876668938</v>
      </c>
    </row>
    <row r="3" spans="1:10" x14ac:dyDescent="0.25">
      <c r="A3" s="11">
        <v>45505</v>
      </c>
      <c r="B3" s="5">
        <f>'hotel finalarea'!C3</f>
        <v>137039</v>
      </c>
      <c r="C3" s="8">
        <f>'non-hotel finalarea'!C3</f>
        <v>70657.925539872303</v>
      </c>
      <c r="D3" s="8">
        <f>'campgrounds shortterm finalarea'!F3</f>
        <v>17992.695349395013</v>
      </c>
      <c r="E3" s="8">
        <f>'campgrounds longterm finalarea'!D3*31</f>
        <v>6944</v>
      </c>
      <c r="F3" s="8">
        <f t="shared" ref="F3:F4" si="0">B3*2+C3+D3+E3</f>
        <v>369672.6208892673</v>
      </c>
      <c r="G3" s="12">
        <v>0.17</v>
      </c>
      <c r="H3" s="8">
        <f t="shared" ref="H3" si="1">F3*((1/(1-G3))-1)</f>
        <v>75716.078977319848</v>
      </c>
      <c r="I3" s="8">
        <f>H3/31</f>
        <v>2442.4541605587046</v>
      </c>
    </row>
    <row r="4" spans="1:10" x14ac:dyDescent="0.25">
      <c r="A4" s="11">
        <v>45597</v>
      </c>
      <c r="B4" s="5">
        <f>'hotel finalarea'!C4</f>
        <v>19650</v>
      </c>
      <c r="C4" s="8">
        <f>'non-hotel finalarea'!C4</f>
        <v>10131.628491586271</v>
      </c>
      <c r="D4" s="8">
        <f>'campgrounds shortterm finalarea'!F4</f>
        <v>0</v>
      </c>
      <c r="E4" s="8">
        <f>'campgrounds longterm finalarea'!D4*30</f>
        <v>0</v>
      </c>
      <c r="F4" s="8">
        <f t="shared" si="0"/>
        <v>49431.628491586271</v>
      </c>
      <c r="G4" s="12">
        <v>0.2</v>
      </c>
      <c r="H4" s="8">
        <f>F4*((1/(1-G4))-1)</f>
        <v>12357.907122896568</v>
      </c>
      <c r="I4" s="8">
        <f>H4/30</f>
        <v>411.93023742988561</v>
      </c>
    </row>
    <row r="6" spans="1:10" x14ac:dyDescent="0.25">
      <c r="B6" s="5" t="s">
        <v>145</v>
      </c>
      <c r="C6" s="5" t="s">
        <v>102</v>
      </c>
      <c r="D6" s="5" t="s">
        <v>104</v>
      </c>
      <c r="E6" s="5" t="s">
        <v>120</v>
      </c>
      <c r="F6" s="5" t="s">
        <v>121</v>
      </c>
      <c r="G6" s="5" t="s">
        <v>131</v>
      </c>
      <c r="H6" s="5" t="s">
        <v>132</v>
      </c>
      <c r="J6" s="4"/>
    </row>
    <row r="7" spans="1:10" x14ac:dyDescent="0.25">
      <c r="B7" s="12">
        <v>0.35</v>
      </c>
      <c r="C7" s="12">
        <v>0.7</v>
      </c>
      <c r="D7" s="12">
        <v>0.3</v>
      </c>
      <c r="E7" s="12">
        <v>0.5</v>
      </c>
      <c r="F7" s="12">
        <v>0.5</v>
      </c>
      <c r="G7" s="12">
        <v>0.3</v>
      </c>
      <c r="H7" s="12">
        <v>0.7</v>
      </c>
      <c r="J7" s="9"/>
    </row>
    <row r="8" spans="1:10" ht="30" x14ac:dyDescent="0.25">
      <c r="A8" s="24" t="s">
        <v>40</v>
      </c>
      <c r="B8" s="25" t="s">
        <v>100</v>
      </c>
      <c r="C8" s="7" t="s">
        <v>139</v>
      </c>
      <c r="D8" s="7" t="s">
        <v>141</v>
      </c>
      <c r="E8" s="7" t="s">
        <v>140</v>
      </c>
      <c r="F8" s="7" t="s">
        <v>142</v>
      </c>
      <c r="G8" s="7" t="s">
        <v>137</v>
      </c>
      <c r="H8" s="7" t="s">
        <v>138</v>
      </c>
      <c r="I8" s="49" t="s">
        <v>147</v>
      </c>
      <c r="J8" s="9"/>
    </row>
    <row r="9" spans="1:10" x14ac:dyDescent="0.25">
      <c r="A9" s="23">
        <v>45323</v>
      </c>
      <c r="B9" s="8">
        <f>I2*B$7</f>
        <v>1256.2744556834127</v>
      </c>
      <c r="C9" s="8">
        <f>($I2*$B$7*C$7)/2</f>
        <v>439.69605948919445</v>
      </c>
      <c r="D9" s="8">
        <f>($I2*$B$7*D$7)/4</f>
        <v>94.220584176255954</v>
      </c>
      <c r="E9" s="8"/>
      <c r="F9" s="8"/>
      <c r="G9" s="8"/>
      <c r="H9" s="8"/>
      <c r="I9" s="5">
        <v>20</v>
      </c>
      <c r="J9" s="9"/>
    </row>
    <row r="10" spans="1:10" x14ac:dyDescent="0.25">
      <c r="A10" s="23">
        <v>45505</v>
      </c>
      <c r="B10" s="8">
        <f t="shared" ref="B10:B11" si="2">I3*B$7</f>
        <v>854.85895619554663</v>
      </c>
      <c r="C10" s="8"/>
      <c r="D10" s="8"/>
      <c r="E10" s="8">
        <f>($I3*$B$7*E$7)/7</f>
        <v>61.061354013967616</v>
      </c>
      <c r="F10" s="8">
        <f>($I3*$B$7*F$7)/4</f>
        <v>106.85736952444333</v>
      </c>
      <c r="G10" s="8"/>
      <c r="H10" s="8"/>
      <c r="I10" s="5">
        <v>16</v>
      </c>
      <c r="J10" s="9"/>
    </row>
    <row r="11" spans="1:10" x14ac:dyDescent="0.25">
      <c r="A11" s="11">
        <v>45597</v>
      </c>
      <c r="B11" s="8">
        <f t="shared" si="2"/>
        <v>144.17558310045996</v>
      </c>
      <c r="C11" s="8"/>
      <c r="D11" s="8"/>
      <c r="E11" s="8"/>
      <c r="F11" s="8"/>
      <c r="G11" s="8">
        <f>($I4*$B$7*G$7)/4</f>
        <v>10.813168732534496</v>
      </c>
      <c r="H11" s="8">
        <f>($I4*$B$7*H$7)/4</f>
        <v>25.23072704258049</v>
      </c>
      <c r="I11" s="5">
        <v>8</v>
      </c>
      <c r="J11" s="9"/>
    </row>
    <row r="12" spans="1:10" x14ac:dyDescent="0.25">
      <c r="A12" s="1"/>
      <c r="B12" s="9"/>
      <c r="C12" s="9"/>
      <c r="D12" s="9"/>
      <c r="E12" s="9"/>
      <c r="F12" s="9"/>
      <c r="G12" s="9"/>
      <c r="H12" s="9"/>
      <c r="J12" s="9"/>
    </row>
    <row r="13" spans="1:10" x14ac:dyDescent="0.25">
      <c r="A13" s="5" t="s">
        <v>40</v>
      </c>
      <c r="B13" s="5" t="s">
        <v>136</v>
      </c>
      <c r="C13" s="9"/>
      <c r="D13" s="9"/>
      <c r="E13" s="9"/>
      <c r="F13" s="9"/>
      <c r="G13" s="9"/>
      <c r="H13" s="9"/>
      <c r="J13" s="9"/>
    </row>
    <row r="14" spans="1:10" x14ac:dyDescent="0.25">
      <c r="A14" s="11">
        <v>45323</v>
      </c>
      <c r="B14" s="8">
        <f>(440*2)*2+(94*4)*2+20*16</f>
        <v>2832</v>
      </c>
      <c r="C14" s="9"/>
      <c r="D14" s="9"/>
      <c r="E14" s="9"/>
      <c r="F14" s="9"/>
      <c r="G14" s="9"/>
      <c r="H14" s="9"/>
      <c r="J14" s="9"/>
    </row>
    <row r="15" spans="1:10" x14ac:dyDescent="0.25">
      <c r="A15" s="11">
        <v>45505</v>
      </c>
      <c r="B15" s="8">
        <f>(61*7)*2+(107*4)*2+16*16</f>
        <v>1966</v>
      </c>
      <c r="C15" s="9"/>
      <c r="D15" s="9"/>
      <c r="E15" s="9"/>
      <c r="F15" s="9"/>
      <c r="G15" s="9"/>
      <c r="H15" s="9"/>
      <c r="J15" s="9"/>
    </row>
    <row r="16" spans="1:10" x14ac:dyDescent="0.25">
      <c r="A16" s="11">
        <v>45597</v>
      </c>
      <c r="B16" s="8">
        <f>(11*4)*2+(25*4)*2+(8*16)</f>
        <v>416</v>
      </c>
      <c r="C16" s="9"/>
      <c r="D16" s="9"/>
      <c r="E16" s="9"/>
      <c r="F16" s="9"/>
      <c r="G16" s="9"/>
      <c r="H16" s="9"/>
      <c r="J16" s="9"/>
    </row>
    <row r="17" spans="1:11" x14ac:dyDescent="0.25">
      <c r="A17" s="1"/>
      <c r="B17" s="9"/>
      <c r="C17" s="9"/>
      <c r="D17" s="9"/>
      <c r="E17" s="9"/>
      <c r="F17" s="9"/>
      <c r="G17" s="9"/>
      <c r="H17" s="9"/>
      <c r="J17" s="9"/>
    </row>
    <row r="18" spans="1:11" ht="15" customHeight="1" x14ac:dyDescent="0.25">
      <c r="A18" s="1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1"/>
      <c r="B19" s="9"/>
      <c r="C19" s="9"/>
      <c r="D19" s="9"/>
      <c r="E19" s="9"/>
      <c r="F19" s="9"/>
      <c r="G19" s="9"/>
      <c r="H19" s="9"/>
      <c r="J19" s="9"/>
    </row>
    <row r="20" spans="1:11" x14ac:dyDescent="0.25">
      <c r="A20" s="1"/>
      <c r="B20" s="9"/>
      <c r="C20" s="9"/>
      <c r="D20" s="9"/>
      <c r="E20" s="9"/>
      <c r="F20" s="9"/>
      <c r="G20" s="9"/>
      <c r="H20" s="9"/>
      <c r="J20" s="9"/>
    </row>
    <row r="21" spans="1:11" x14ac:dyDescent="0.25">
      <c r="J21" s="9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8874-F11A-4D97-B3F8-FD7F3DE64D43}">
  <dimension ref="A1:K4"/>
  <sheetViews>
    <sheetView workbookViewId="0">
      <selection activeCell="E7" sqref="E7"/>
    </sheetView>
  </sheetViews>
  <sheetFormatPr baseColWidth="10" defaultRowHeight="15" x14ac:dyDescent="0.25"/>
  <cols>
    <col min="1" max="1" width="7" bestFit="1" customWidth="1"/>
    <col min="2" max="2" width="34.140625" bestFit="1" customWidth="1"/>
    <col min="3" max="3" width="34.85546875" bestFit="1" customWidth="1"/>
    <col min="4" max="4" width="44.5703125" bestFit="1" customWidth="1"/>
    <col min="5" max="5" width="44" bestFit="1" customWidth="1"/>
    <col min="6" max="6" width="33.42578125" bestFit="1" customWidth="1"/>
    <col min="7" max="7" width="29.85546875" bestFit="1" customWidth="1"/>
    <col min="8" max="8" width="27.28515625" bestFit="1" customWidth="1"/>
  </cols>
  <sheetData>
    <row r="1" spans="1:11" ht="30" customHeight="1" x14ac:dyDescent="0.25">
      <c r="A1" s="18" t="s">
        <v>40</v>
      </c>
      <c r="B1" s="7" t="s">
        <v>58</v>
      </c>
      <c r="C1" s="7" t="s">
        <v>66</v>
      </c>
      <c r="D1" s="7" t="s">
        <v>51</v>
      </c>
      <c r="E1" s="7" t="s">
        <v>78</v>
      </c>
      <c r="F1" s="7" t="s">
        <v>81</v>
      </c>
      <c r="G1" s="7" t="s">
        <v>83</v>
      </c>
      <c r="H1" s="7" t="s">
        <v>84</v>
      </c>
      <c r="I1" s="4"/>
      <c r="J1" s="4"/>
      <c r="K1" s="4"/>
    </row>
    <row r="2" spans="1:11" x14ac:dyDescent="0.25">
      <c r="A2" s="11">
        <v>45323</v>
      </c>
      <c r="B2" s="8">
        <f>'hotel alldata'!C2</f>
        <v>254496</v>
      </c>
      <c r="C2" s="8">
        <f>'non-hotel alldata'!C2</f>
        <v>131219.28369438881</v>
      </c>
      <c r="D2" s="8">
        <f>'campgrounds shortterm alldata'!F2</f>
        <v>6808.4628783301323</v>
      </c>
      <c r="E2" s="8">
        <f>'campgrounds longterm alldata'!D2</f>
        <v>243.20000000000002</v>
      </c>
      <c r="F2" s="8">
        <f>'daytrip tourists alldata'!H2</f>
        <v>163518.13664317975</v>
      </c>
      <c r="G2" s="8">
        <f>B2*2+C2+D2+E2+F2</f>
        <v>810781.0832158986</v>
      </c>
      <c r="H2" s="8">
        <f>G2/29</f>
        <v>27957.968386755125</v>
      </c>
    </row>
    <row r="3" spans="1:11" x14ac:dyDescent="0.25">
      <c r="A3" s="11">
        <v>45505</v>
      </c>
      <c r="B3" s="8">
        <f>'hotel alldata'!C3</f>
        <v>209937</v>
      </c>
      <c r="C3" s="8">
        <f>'non-hotel alldata'!C3</f>
        <v>108244.46262789553</v>
      </c>
      <c r="D3" s="8">
        <f>'campgrounds shortterm alldata'!F3</f>
        <v>32916.847552863524</v>
      </c>
      <c r="E3" s="8">
        <f>'campgrounds longterm alldata'!D3</f>
        <v>499.20000000000005</v>
      </c>
      <c r="F3" s="8">
        <f>'daytrip tourists alldata'!I3</f>
        <v>3809.0472884076594</v>
      </c>
      <c r="G3" s="8">
        <f t="shared" ref="G3:G4" si="0">B3*2+C3+D3+E3+F3</f>
        <v>565343.5574691667</v>
      </c>
      <c r="H3" s="8">
        <f>G3/31</f>
        <v>18236.888950618282</v>
      </c>
    </row>
    <row r="4" spans="1:11" x14ac:dyDescent="0.25">
      <c r="A4" s="11">
        <v>45597</v>
      </c>
      <c r="B4" s="8">
        <f>'hotel alldata'!C4</f>
        <v>36859</v>
      </c>
      <c r="C4" s="8">
        <f>'non-hotel alldata'!C4</f>
        <v>19004.666390400937</v>
      </c>
      <c r="D4" s="8">
        <f>'campgrounds shortterm alldata'!F4</f>
        <v>5779.2675133539906</v>
      </c>
      <c r="E4" s="8">
        <f>'campgrounds longterm alldata'!D4</f>
        <v>198.79999999999998</v>
      </c>
      <c r="F4" s="8">
        <f>'daytrip tourists alldata'!I4</f>
        <v>870.54944919795764</v>
      </c>
      <c r="G4" s="8">
        <f t="shared" si="0"/>
        <v>99571.283352952887</v>
      </c>
      <c r="H4" s="8">
        <f>G4/30</f>
        <v>3319.0427784317631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5A83-069C-49B3-85D5-2911AA614046}">
  <dimension ref="A1:I4"/>
  <sheetViews>
    <sheetView workbookViewId="0">
      <selection activeCell="E2" sqref="E2"/>
    </sheetView>
  </sheetViews>
  <sheetFormatPr baseColWidth="10" defaultRowHeight="15" x14ac:dyDescent="0.25"/>
  <cols>
    <col min="1" max="1" width="7" bestFit="1" customWidth="1"/>
    <col min="2" max="2" width="34.140625" bestFit="1" customWidth="1"/>
    <col min="3" max="3" width="34.85546875" bestFit="1" customWidth="1"/>
    <col min="4" max="4" width="44.5703125" bestFit="1" customWidth="1"/>
    <col min="5" max="5" width="44" bestFit="1" customWidth="1"/>
    <col min="6" max="6" width="33.42578125" bestFit="1" customWidth="1"/>
    <col min="7" max="7" width="29.85546875" bestFit="1" customWidth="1"/>
    <col min="8" max="8" width="27.28515625" bestFit="1" customWidth="1"/>
  </cols>
  <sheetData>
    <row r="1" spans="1:9" ht="30" customHeight="1" x14ac:dyDescent="0.25">
      <c r="A1" s="18" t="s">
        <v>40</v>
      </c>
      <c r="B1" s="10" t="s">
        <v>58</v>
      </c>
      <c r="C1" s="10" t="s">
        <v>66</v>
      </c>
      <c r="D1" s="10" t="s">
        <v>51</v>
      </c>
      <c r="E1" s="10" t="s">
        <v>78</v>
      </c>
      <c r="F1" s="10" t="s">
        <v>81</v>
      </c>
      <c r="G1" s="4" t="s">
        <v>83</v>
      </c>
      <c r="H1" s="4" t="s">
        <v>84</v>
      </c>
      <c r="I1" s="4"/>
    </row>
    <row r="2" spans="1:9" x14ac:dyDescent="0.25">
      <c r="A2" s="11">
        <v>45323</v>
      </c>
      <c r="B2" s="8">
        <f>'hotel studyarea'!C2</f>
        <v>248763</v>
      </c>
      <c r="C2" s="8">
        <f>'non-hotel studyarea'!C2</f>
        <v>128263.32307646183</v>
      </c>
      <c r="D2" s="8">
        <f>'campgrounds shortterm studyarea'!F2</f>
        <v>5984.7168316634625</v>
      </c>
      <c r="E2" s="8">
        <f>'campgrounds longterm studyarea'!D2</f>
        <v>227.20000000000002</v>
      </c>
      <c r="F2" s="8">
        <f>'daytrip tourists studyarea'!H2</f>
        <v>159590.70997703134</v>
      </c>
      <c r="G2" s="8">
        <f>B2*2+C2+D2+E2+F2</f>
        <v>791591.94988515659</v>
      </c>
      <c r="H2" s="8">
        <f>G2/29</f>
        <v>27296.274133970917</v>
      </c>
    </row>
    <row r="3" spans="1:9" x14ac:dyDescent="0.25">
      <c r="A3" s="11">
        <v>45505</v>
      </c>
      <c r="B3" s="8">
        <f>'hotel studyarea'!C3</f>
        <v>206231</v>
      </c>
      <c r="C3" s="8">
        <f>'non-hotel studyarea'!C3</f>
        <v>106333.63233833731</v>
      </c>
      <c r="D3" s="8">
        <f>'campgrounds shortterm studyarea'!F3</f>
        <v>28854.77479101294</v>
      </c>
      <c r="E3" s="8">
        <f>'campgrounds longterm studyarea'!D3</f>
        <v>451.20000000000005</v>
      </c>
      <c r="F3" s="8">
        <f>'daytrip tourists studyarea'!H3</f>
        <v>115034.20868914407</v>
      </c>
      <c r="G3" s="8">
        <f t="shared" ref="G3:G4" si="0">B3*2+C3+D3+E3+F3</f>
        <v>663135.8158184943</v>
      </c>
      <c r="H3" s="8">
        <f>G3/31</f>
        <v>21391.477929628847</v>
      </c>
    </row>
    <row r="4" spans="1:9" x14ac:dyDescent="0.25">
      <c r="A4" s="11">
        <v>45597</v>
      </c>
      <c r="B4" s="8">
        <f>'hotel studyarea'!C4</f>
        <v>36085</v>
      </c>
      <c r="C4" s="8">
        <f>'non-hotel studyarea'!C4</f>
        <v>18605.588504778148</v>
      </c>
      <c r="D4" s="8">
        <f>'campgrounds shortterm studyarea'!F4</f>
        <v>5048.8265504880546</v>
      </c>
      <c r="E4" s="8">
        <f>'campgrounds longterm studyarea'!D4</f>
        <v>198.79999999999998</v>
      </c>
      <c r="F4" s="8">
        <f>'daytrip tourists studyarea'!H4</f>
        <v>25447.103763816551</v>
      </c>
      <c r="G4" s="8">
        <f t="shared" si="0"/>
        <v>121470.31881908275</v>
      </c>
      <c r="H4" s="8">
        <f>G4/30</f>
        <v>4049.0106273027582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3670-224E-4656-B623-8D01AB8D9359}">
  <dimension ref="A1:J32"/>
  <sheetViews>
    <sheetView tabSelected="1" workbookViewId="0">
      <selection activeCell="C27" sqref="C27"/>
    </sheetView>
  </sheetViews>
  <sheetFormatPr baseColWidth="10" defaultRowHeight="15" x14ac:dyDescent="0.25"/>
  <cols>
    <col min="1" max="1" width="7" bestFit="1" customWidth="1"/>
    <col min="2" max="2" width="34.140625" bestFit="1" customWidth="1"/>
    <col min="3" max="3" width="44.28515625" bestFit="1" customWidth="1"/>
    <col min="4" max="4" width="34.85546875" bestFit="1" customWidth="1"/>
    <col min="5" max="5" width="44.5703125" bestFit="1" customWidth="1"/>
    <col min="6" max="6" width="44" bestFit="1" customWidth="1"/>
    <col min="7" max="7" width="33.42578125" bestFit="1" customWidth="1"/>
    <col min="8" max="8" width="29.85546875" bestFit="1" customWidth="1"/>
    <col min="9" max="9" width="27.28515625" bestFit="1" customWidth="1"/>
  </cols>
  <sheetData>
    <row r="1" spans="1:10" ht="30" customHeight="1" x14ac:dyDescent="0.25">
      <c r="A1" s="18" t="s">
        <v>40</v>
      </c>
      <c r="B1" s="10" t="s">
        <v>58</v>
      </c>
      <c r="C1" s="10" t="s">
        <v>85</v>
      </c>
      <c r="D1" s="10" t="s">
        <v>66</v>
      </c>
      <c r="E1" s="10" t="s">
        <v>51</v>
      </c>
      <c r="F1" s="10" t="s">
        <v>78</v>
      </c>
      <c r="G1" s="10" t="s">
        <v>81</v>
      </c>
      <c r="H1" s="4" t="s">
        <v>83</v>
      </c>
      <c r="I1" s="4" t="s">
        <v>84</v>
      </c>
      <c r="J1" s="4"/>
    </row>
    <row r="2" spans="1:10" x14ac:dyDescent="0.25">
      <c r="A2" s="11">
        <v>45323</v>
      </c>
      <c r="B2" s="8">
        <f>'hotel finalarea'!C2</f>
        <v>165513</v>
      </c>
      <c r="C2" s="8">
        <f>B2</f>
        <v>165513</v>
      </c>
      <c r="D2" s="8">
        <f>'non-hotel finalarea'!C2</f>
        <v>85339.248169359707</v>
      </c>
      <c r="E2" s="8">
        <f>'campgrounds shortterm finalarea'!F2</f>
        <v>0</v>
      </c>
      <c r="F2" s="8">
        <f>'campgrounds longterm finalarea'!D2</f>
        <v>0</v>
      </c>
      <c r="G2" s="8">
        <f>'daytrip tourists finalarea'!H2</f>
        <v>104091.31204233992</v>
      </c>
      <c r="H2" s="8">
        <f>B2+C2+D2+E2+F2+G2</f>
        <v>520456.56021169963</v>
      </c>
      <c r="I2" s="8">
        <f>H2/29</f>
        <v>17946.777938334471</v>
      </c>
    </row>
    <row r="3" spans="1:10" x14ac:dyDescent="0.25">
      <c r="A3" s="11">
        <v>45505</v>
      </c>
      <c r="B3" s="8">
        <f>'hotel finalarea'!C3</f>
        <v>137039</v>
      </c>
      <c r="C3" s="8">
        <f t="shared" ref="C3:C4" si="0">B3</f>
        <v>137039</v>
      </c>
      <c r="D3" s="8">
        <f>'non-hotel finalarea'!C3</f>
        <v>70657.925539872303</v>
      </c>
      <c r="E3" s="8">
        <f>'campgrounds shortterm finalarea'!F3</f>
        <v>17992.695349395013</v>
      </c>
      <c r="F3" s="8">
        <f>'campgrounds longterm finalarea'!D3</f>
        <v>224</v>
      </c>
      <c r="G3" s="8">
        <f>'daytrip tourists finalarea'!H3</f>
        <v>75716.078977319848</v>
      </c>
      <c r="H3" s="8">
        <f t="shared" ref="H3:H4" si="1">B3+C3+D3+E3+F3+G3</f>
        <v>438668.69986658718</v>
      </c>
      <c r="I3" s="8">
        <f>H3/31</f>
        <v>14150.603221502812</v>
      </c>
    </row>
    <row r="4" spans="1:10" x14ac:dyDescent="0.25">
      <c r="A4" s="11">
        <v>45597</v>
      </c>
      <c r="B4" s="8">
        <f>'hotel finalarea'!C4</f>
        <v>19650</v>
      </c>
      <c r="C4" s="8">
        <f t="shared" si="0"/>
        <v>19650</v>
      </c>
      <c r="D4" s="8">
        <f>'non-hotel finalarea'!C4</f>
        <v>10131.628491586271</v>
      </c>
      <c r="E4" s="8">
        <f>'campgrounds shortterm finalarea'!F4</f>
        <v>0</v>
      </c>
      <c r="F4" s="8">
        <f>'campgrounds longterm finalarea'!D4</f>
        <v>0</v>
      </c>
      <c r="G4" s="8">
        <f>'daytrip tourists finalarea'!H4</f>
        <v>12357.907122896568</v>
      </c>
      <c r="H4" s="8">
        <f t="shared" si="1"/>
        <v>61789.53561448284</v>
      </c>
      <c r="I4" s="8">
        <f>H4/30</f>
        <v>2059.6511871494281</v>
      </c>
    </row>
    <row r="6" spans="1:10" x14ac:dyDescent="0.25">
      <c r="A6" s="48" t="s">
        <v>40</v>
      </c>
      <c r="B6" s="33" t="s">
        <v>86</v>
      </c>
      <c r="C6" s="33"/>
      <c r="D6" s="33"/>
      <c r="E6" s="33"/>
      <c r="F6" s="33"/>
      <c r="G6" s="33"/>
    </row>
    <row r="7" spans="1:10" x14ac:dyDescent="0.25">
      <c r="A7" s="48"/>
      <c r="B7" s="12">
        <v>0.3</v>
      </c>
      <c r="C7" s="12">
        <v>0.3</v>
      </c>
      <c r="D7" s="12">
        <v>0.3</v>
      </c>
      <c r="E7" s="12">
        <v>0</v>
      </c>
      <c r="F7" s="12">
        <v>0</v>
      </c>
      <c r="G7" s="12">
        <v>0.3</v>
      </c>
    </row>
    <row r="8" spans="1:10" x14ac:dyDescent="0.25">
      <c r="A8" s="11">
        <v>45323</v>
      </c>
      <c r="B8" s="8">
        <f>'hotel finalarea'!G2*B$7</f>
        <v>885.04137931034484</v>
      </c>
      <c r="C8" s="8">
        <f>'hotel finalarea'!G2*C$7</f>
        <v>885.04137931034484</v>
      </c>
      <c r="D8" s="8">
        <f>'non-hotel finalarea'!F2*D$7</f>
        <v>253.47595065826692</v>
      </c>
      <c r="E8" s="8">
        <f>'campgrounds shortterm finalarea'!J2*E$7</f>
        <v>0</v>
      </c>
      <c r="F8" s="8">
        <v>0</v>
      </c>
      <c r="G8" s="8">
        <f t="shared" ref="G8" si="2">G2/29*G$7</f>
        <v>1076.8066763000681</v>
      </c>
    </row>
    <row r="9" spans="1:10" x14ac:dyDescent="0.25">
      <c r="A9" s="11">
        <v>45505</v>
      </c>
      <c r="B9" s="8">
        <f>'hotel finalarea'!G3*B$7</f>
        <v>963.44516129032252</v>
      </c>
      <c r="C9" s="8">
        <f>'hotel finalarea'!G3*C$7</f>
        <v>963.44516129032252</v>
      </c>
      <c r="D9" s="8">
        <f>'non-hotel finalarea'!F3*D$7</f>
        <v>275.93080264277467</v>
      </c>
      <c r="E9" s="8">
        <f>'campgrounds shortterm finalarea'!J3*E$7</f>
        <v>0</v>
      </c>
      <c r="F9" s="8">
        <v>0</v>
      </c>
      <c r="G9" s="8">
        <f t="shared" ref="G9" si="3">G3/31*G$7</f>
        <v>732.73624816761139</v>
      </c>
    </row>
    <row r="10" spans="1:10" x14ac:dyDescent="0.25">
      <c r="A10" s="11">
        <v>45597</v>
      </c>
      <c r="B10" s="8">
        <f>'hotel finalarea'!G4*B$7</f>
        <v>205.48</v>
      </c>
      <c r="C10" s="8">
        <f>'hotel finalarea'!G4*C$7</f>
        <v>205.48</v>
      </c>
      <c r="D10" s="8">
        <f>'non-hotel finalarea'!F4*D$7</f>
        <v>58.849495129647551</v>
      </c>
      <c r="E10" s="8">
        <f>'campgrounds shortterm finalarea'!J4*E$7</f>
        <v>0</v>
      </c>
      <c r="F10" s="8">
        <v>0</v>
      </c>
      <c r="G10" s="8">
        <f t="shared" ref="G10" si="4">G4/30*G$7</f>
        <v>123.57907122896567</v>
      </c>
    </row>
    <row r="12" spans="1:10" x14ac:dyDescent="0.25">
      <c r="A12" s="48" t="s">
        <v>40</v>
      </c>
      <c r="B12" s="33" t="s">
        <v>87</v>
      </c>
      <c r="C12" s="33"/>
      <c r="D12" s="33"/>
      <c r="E12" s="33"/>
      <c r="F12" s="33"/>
      <c r="G12" s="33"/>
    </row>
    <row r="13" spans="1:10" x14ac:dyDescent="0.25">
      <c r="A13" s="48"/>
      <c r="B13" s="12">
        <v>0.5</v>
      </c>
      <c r="C13" s="12">
        <v>0.5</v>
      </c>
      <c r="D13" s="12">
        <v>0.5</v>
      </c>
      <c r="E13" s="6">
        <v>0.745</v>
      </c>
      <c r="F13" s="6">
        <v>0.745</v>
      </c>
      <c r="G13" s="12">
        <v>0.3</v>
      </c>
    </row>
    <row r="14" spans="1:10" x14ac:dyDescent="0.25">
      <c r="A14" s="11">
        <v>45323</v>
      </c>
      <c r="B14" s="8">
        <f>'hotel finalarea'!F2*B$13</f>
        <v>2853.6724137931033</v>
      </c>
      <c r="C14" s="8">
        <f>'hotel finalarea'!F2*C$13</f>
        <v>2853.6724137931033</v>
      </c>
      <c r="D14" s="8">
        <f>'non-hotel finalarea'!E2*D$13</f>
        <v>1471.3663477475809</v>
      </c>
      <c r="E14" s="8" t="e">
        <f>'campgrounds shortterm finalarea'!I2*E$13</f>
        <v>#DIV/0!</v>
      </c>
      <c r="F14" s="8">
        <f>'campgrounds longterm finalarea'!D2*F$13</f>
        <v>0</v>
      </c>
      <c r="G14" s="8">
        <f>'daytrip tourists finalarea'!I2*G$13</f>
        <v>1076.8066763000681</v>
      </c>
    </row>
    <row r="15" spans="1:10" x14ac:dyDescent="0.25">
      <c r="A15" s="11">
        <v>45505</v>
      </c>
      <c r="B15" s="8">
        <f>'hotel finalarea'!F3*B$13</f>
        <v>2210.3064516129034</v>
      </c>
      <c r="C15" s="8">
        <f>'hotel finalarea'!F3*C$13</f>
        <v>2210.3064516129034</v>
      </c>
      <c r="D15" s="8">
        <f>'non-hotel finalarea'!E3*D$13</f>
        <v>1139.643960320521</v>
      </c>
      <c r="E15" s="8">
        <f>'campgrounds shortterm finalarea'!I3*E$13</f>
        <v>432.40509791288008</v>
      </c>
      <c r="F15" s="8">
        <f>'campgrounds longterm finalarea'!D3*F$13</f>
        <v>166.88</v>
      </c>
      <c r="G15" s="8">
        <f>'daytrip tourists finalarea'!I3*G$13</f>
        <v>732.73624816761139</v>
      </c>
    </row>
    <row r="16" spans="1:10" x14ac:dyDescent="0.25">
      <c r="A16" s="11">
        <v>45597</v>
      </c>
      <c r="B16" s="8">
        <f>'hotel finalarea'!F4*B$13</f>
        <v>327.5</v>
      </c>
      <c r="C16" s="8">
        <f>'hotel finalarea'!F4*C$13</f>
        <v>327.5</v>
      </c>
      <c r="D16" s="8">
        <f>'non-hotel finalarea'!E4*D$13</f>
        <v>168.86047485977119</v>
      </c>
      <c r="E16" s="8" t="e">
        <f>'campgrounds shortterm finalarea'!I4*E$13</f>
        <v>#DIV/0!</v>
      </c>
      <c r="F16" s="8">
        <f>'campgrounds longterm finalarea'!D4*F$13</f>
        <v>0</v>
      </c>
      <c r="G16" s="8">
        <f>'daytrip tourists finalarea'!I4*G$13</f>
        <v>123.57907122896567</v>
      </c>
    </row>
    <row r="18" spans="1:7" x14ac:dyDescent="0.25">
      <c r="A18" s="45" t="s">
        <v>40</v>
      </c>
      <c r="B18" s="33" t="s">
        <v>88</v>
      </c>
      <c r="C18" s="33"/>
      <c r="D18" s="33"/>
      <c r="E18" s="33"/>
      <c r="F18" s="33"/>
      <c r="G18" s="33"/>
    </row>
    <row r="19" spans="1:7" x14ac:dyDescent="0.25">
      <c r="A19" s="46"/>
      <c r="B19" s="12">
        <v>0.5</v>
      </c>
      <c r="C19" s="12">
        <v>0.5</v>
      </c>
      <c r="D19" s="12">
        <v>0.5</v>
      </c>
      <c r="E19" s="6">
        <v>0.745</v>
      </c>
      <c r="F19" s="6">
        <v>0.745</v>
      </c>
      <c r="G19" s="12">
        <v>0.3</v>
      </c>
    </row>
    <row r="20" spans="1:7" x14ac:dyDescent="0.25">
      <c r="A20" s="46"/>
      <c r="B20" s="42" t="s">
        <v>89</v>
      </c>
      <c r="C20" s="43"/>
      <c r="D20" s="43"/>
      <c r="E20" s="43"/>
      <c r="F20" s="43"/>
      <c r="G20" s="44"/>
    </row>
    <row r="21" spans="1:7" x14ac:dyDescent="0.25">
      <c r="A21" s="47"/>
      <c r="B21" s="21">
        <v>0</v>
      </c>
      <c r="C21" s="21">
        <v>0.4</v>
      </c>
      <c r="D21" s="21">
        <v>0.4</v>
      </c>
      <c r="E21" s="21">
        <v>0.4</v>
      </c>
      <c r="F21" s="22">
        <v>0.28570000000000001</v>
      </c>
      <c r="G21" s="21">
        <v>0</v>
      </c>
    </row>
    <row r="22" spans="1:7" x14ac:dyDescent="0.25">
      <c r="A22" s="11">
        <v>45323</v>
      </c>
      <c r="B22" s="8">
        <v>0</v>
      </c>
      <c r="C22" s="8">
        <f>'hotel finalarea'!G2*C$21*C$19</f>
        <v>590.02758620689656</v>
      </c>
      <c r="D22" s="8">
        <f>'non-hotel finalarea'!F2*D$21*D$19</f>
        <v>168.98396710551128</v>
      </c>
      <c r="E22" s="8">
        <f>'non-hotel finalarea'!F2*E$21*E$19</f>
        <v>251.7861109872118</v>
      </c>
      <c r="F22" s="8">
        <f>'campgrounds longterm finalarea'!D2*F$21*F$19</f>
        <v>0</v>
      </c>
      <c r="G22" s="8">
        <v>0</v>
      </c>
    </row>
    <row r="23" spans="1:7" x14ac:dyDescent="0.25">
      <c r="A23" s="11">
        <v>45505</v>
      </c>
      <c r="B23" s="8">
        <v>0</v>
      </c>
      <c r="C23" s="8">
        <f>'hotel finalarea'!G3*C$21*C$19</f>
        <v>642.29677419354846</v>
      </c>
      <c r="D23" s="8">
        <f>'non-hotel finalarea'!F3*D$21*D$19</f>
        <v>183.95386842851647</v>
      </c>
      <c r="E23" s="8">
        <f>'non-hotel finalarea'!F3*E$21*E$19</f>
        <v>274.09126395848955</v>
      </c>
      <c r="F23" s="8">
        <f>'campgrounds longterm finalarea'!D3*F$21*F$19</f>
        <v>47.677616</v>
      </c>
      <c r="G23" s="8">
        <v>0</v>
      </c>
    </row>
    <row r="24" spans="1:7" x14ac:dyDescent="0.25">
      <c r="A24" s="11">
        <v>45597</v>
      </c>
      <c r="B24" s="8">
        <v>0</v>
      </c>
      <c r="C24" s="8">
        <f>'hotel finalarea'!G4*C$21*C$19</f>
        <v>136.98666666666665</v>
      </c>
      <c r="D24" s="8">
        <f>'non-hotel finalarea'!F4*D$21*D$19</f>
        <v>39.232996753098377</v>
      </c>
      <c r="E24" s="8">
        <f>'non-hotel finalarea'!F4*E$21*E$19</f>
        <v>58.457165162116581</v>
      </c>
      <c r="F24" s="8">
        <f>'campgrounds longterm finalarea'!D4*F$21*F$19</f>
        <v>0</v>
      </c>
      <c r="G24" s="8">
        <v>0</v>
      </c>
    </row>
    <row r="26" spans="1:7" x14ac:dyDescent="0.25">
      <c r="A26" s="5" t="s">
        <v>40</v>
      </c>
      <c r="B26" s="5" t="s">
        <v>136</v>
      </c>
    </row>
    <row r="27" spans="1:7" x14ac:dyDescent="0.25">
      <c r="A27" s="11">
        <v>45323</v>
      </c>
      <c r="B27" s="8">
        <f>'hotel finalarea'!B38+'non-hotel finalarea'!B34+'campgrounds shortterm finalarea'!B42+'campgrounds longterm finalarea'!B17+'daytrip tourists finalarea'!B14+'tourists private acco PT'!D32</f>
        <v>8378</v>
      </c>
    </row>
    <row r="28" spans="1:7" x14ac:dyDescent="0.25">
      <c r="A28" s="11">
        <v>45505</v>
      </c>
      <c r="B28" s="8">
        <f>'hotel finalarea'!B39+'non-hotel finalarea'!B35+'campgrounds shortterm finalarea'!B43+'campgrounds longterm finalarea'!B18+'daytrip tourists finalarea'!B15+'tourists private acco PT'!D33</f>
        <v>9436</v>
      </c>
    </row>
    <row r="29" spans="1:7" x14ac:dyDescent="0.25">
      <c r="A29" s="11">
        <v>45597</v>
      </c>
      <c r="B29" s="8">
        <f>'hotel finalarea'!B40+'non-hotel finalarea'!B36+'campgrounds shortterm finalarea'!B44+'campgrounds longterm finalarea'!B19+'daytrip tourists finalarea'!B16+'tourists private acco PT'!D34</f>
        <v>1492</v>
      </c>
    </row>
    <row r="31" spans="1:7" x14ac:dyDescent="0.25">
      <c r="B31" s="5" t="s">
        <v>148</v>
      </c>
    </row>
    <row r="32" spans="1:7" x14ac:dyDescent="0.25">
      <c r="B32" s="5">
        <f>B29*(30*3)+B28*(30*5+3)+B27*(30*4+2)</f>
        <v>2600104</v>
      </c>
    </row>
  </sheetData>
  <mergeCells count="7">
    <mergeCell ref="B20:G20"/>
    <mergeCell ref="A18:A21"/>
    <mergeCell ref="B6:G6"/>
    <mergeCell ref="A6:A7"/>
    <mergeCell ref="A12:A13"/>
    <mergeCell ref="B12:G12"/>
    <mergeCell ref="B18:G18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2533-A62C-4274-8102-48E572B18B90}">
  <dimension ref="A1:J34"/>
  <sheetViews>
    <sheetView topLeftCell="A12" workbookViewId="0">
      <selection activeCell="H22" sqref="H22"/>
    </sheetView>
  </sheetViews>
  <sheetFormatPr baseColWidth="10" defaultRowHeight="15" x14ac:dyDescent="0.25"/>
  <cols>
    <col min="1" max="1" width="18.85546875" bestFit="1" customWidth="1"/>
    <col min="2" max="2" width="7" bestFit="1" customWidth="1"/>
    <col min="3" max="3" width="22.140625" bestFit="1" customWidth="1"/>
    <col min="4" max="4" width="27.42578125" customWidth="1"/>
    <col min="5" max="5" width="37.7109375" bestFit="1" customWidth="1"/>
    <col min="6" max="6" width="29.42578125" bestFit="1" customWidth="1"/>
    <col min="7" max="7" width="38.140625" bestFit="1" customWidth="1"/>
    <col min="8" max="8" width="34.7109375" bestFit="1" customWidth="1"/>
    <col min="9" max="9" width="40" bestFit="1" customWidth="1"/>
    <col min="10" max="10" width="27.7109375" bestFit="1" customWidth="1"/>
  </cols>
  <sheetData>
    <row r="1" spans="1:10" ht="30" customHeight="1" x14ac:dyDescent="0.25">
      <c r="A1" s="5" t="s">
        <v>94</v>
      </c>
      <c r="B1" s="5" t="s">
        <v>40</v>
      </c>
      <c r="C1" s="7" t="s">
        <v>126</v>
      </c>
      <c r="D1" s="27" t="s">
        <v>127</v>
      </c>
      <c r="E1" s="7" t="s">
        <v>128</v>
      </c>
      <c r="F1" s="7" t="s">
        <v>133</v>
      </c>
      <c r="G1" s="7" t="s">
        <v>129</v>
      </c>
      <c r="H1" s="7" t="s">
        <v>130</v>
      </c>
    </row>
    <row r="2" spans="1:10" x14ac:dyDescent="0.25">
      <c r="A2" s="33" t="s">
        <v>90</v>
      </c>
      <c r="B2" s="23">
        <v>45323</v>
      </c>
      <c r="C2" s="5">
        <v>7607</v>
      </c>
      <c r="D2" s="5">
        <v>33359</v>
      </c>
      <c r="E2" s="8">
        <f>D2/C2</f>
        <v>4.3853030103851713</v>
      </c>
      <c r="F2" s="8">
        <f>C2/(29/E2)</f>
        <v>1150.3103448275861</v>
      </c>
      <c r="G2" s="8">
        <f>(C2/29)*2</f>
        <v>524.62068965517244</v>
      </c>
      <c r="H2" s="8">
        <f>G2/2</f>
        <v>262.31034482758622</v>
      </c>
    </row>
    <row r="3" spans="1:10" x14ac:dyDescent="0.25">
      <c r="A3" s="33"/>
      <c r="B3" s="23">
        <v>45505</v>
      </c>
      <c r="C3" s="5">
        <v>7347</v>
      </c>
      <c r="D3" s="5">
        <v>28885</v>
      </c>
      <c r="E3" s="8">
        <f t="shared" ref="E3:E13" si="0">D3/C3</f>
        <v>3.931536681638764</v>
      </c>
      <c r="F3" s="8">
        <f>C3/(31/E3)</f>
        <v>931.77419354838707</v>
      </c>
      <c r="G3" s="8">
        <f>(C3/31)*2</f>
        <v>474</v>
      </c>
      <c r="H3" s="8">
        <f t="shared" ref="H3:H13" si="1">G3/2</f>
        <v>237</v>
      </c>
    </row>
    <row r="4" spans="1:10" x14ac:dyDescent="0.25">
      <c r="A4" s="33"/>
      <c r="B4" s="23">
        <v>45597</v>
      </c>
      <c r="C4" s="5">
        <v>455</v>
      </c>
      <c r="D4" s="5">
        <v>906</v>
      </c>
      <c r="E4" s="8">
        <f t="shared" si="0"/>
        <v>1.9912087912087912</v>
      </c>
      <c r="F4" s="8">
        <f>C4/(30/E4)</f>
        <v>30.2</v>
      </c>
      <c r="G4" s="8">
        <f>(C4/30)*2</f>
        <v>30.333333333333332</v>
      </c>
      <c r="H4" s="8">
        <f t="shared" si="1"/>
        <v>15.166666666666666</v>
      </c>
    </row>
    <row r="5" spans="1:10" x14ac:dyDescent="0.25">
      <c r="A5" s="33" t="s">
        <v>91</v>
      </c>
      <c r="B5" s="23">
        <v>45323</v>
      </c>
      <c r="C5" s="5">
        <v>3610</v>
      </c>
      <c r="D5" s="5">
        <v>13348</v>
      </c>
      <c r="E5" s="8">
        <f t="shared" si="0"/>
        <v>3.6975069252077564</v>
      </c>
      <c r="F5" s="8">
        <f t="shared" ref="F5:F11" si="2">C5/(29/E5)</f>
        <v>460.27586206896552</v>
      </c>
      <c r="G5" s="8">
        <f t="shared" ref="G5:G11" si="3">(C5/29)*2</f>
        <v>248.9655172413793</v>
      </c>
      <c r="H5" s="8">
        <f t="shared" si="1"/>
        <v>124.48275862068965</v>
      </c>
    </row>
    <row r="6" spans="1:10" x14ac:dyDescent="0.25">
      <c r="A6" s="33"/>
      <c r="B6" s="23">
        <v>45505</v>
      </c>
      <c r="C6" s="5">
        <v>3403</v>
      </c>
      <c r="D6" s="5">
        <v>10514</v>
      </c>
      <c r="E6" s="8">
        <f t="shared" si="0"/>
        <v>3.0896267998824567</v>
      </c>
      <c r="F6" s="8">
        <f>C6/(31/E6)</f>
        <v>339.16129032258067</v>
      </c>
      <c r="G6" s="8">
        <f>(C6/31)*2</f>
        <v>219.54838709677421</v>
      </c>
      <c r="H6" s="8">
        <f t="shared" si="1"/>
        <v>109.7741935483871</v>
      </c>
    </row>
    <row r="7" spans="1:10" x14ac:dyDescent="0.25">
      <c r="A7" s="33"/>
      <c r="B7" s="23">
        <v>45597</v>
      </c>
      <c r="C7" s="5">
        <v>945</v>
      </c>
      <c r="D7" s="5">
        <v>2224</v>
      </c>
      <c r="E7" s="8">
        <f t="shared" si="0"/>
        <v>2.3534391534391532</v>
      </c>
      <c r="F7" s="8">
        <f>C7/(30/E7)</f>
        <v>74.133333333333326</v>
      </c>
      <c r="G7" s="8">
        <f>(C7/30)*2</f>
        <v>63</v>
      </c>
      <c r="H7" s="8">
        <f t="shared" si="1"/>
        <v>31.5</v>
      </c>
    </row>
    <row r="8" spans="1:10" x14ac:dyDescent="0.25">
      <c r="A8" s="33" t="s">
        <v>92</v>
      </c>
      <c r="B8" s="23">
        <v>45323</v>
      </c>
      <c r="C8" s="5">
        <v>2225</v>
      </c>
      <c r="D8" s="5">
        <v>6692</v>
      </c>
      <c r="E8" s="8">
        <f t="shared" si="0"/>
        <v>3.0076404494382021</v>
      </c>
      <c r="F8" s="8">
        <f t="shared" si="2"/>
        <v>230.75862068965515</v>
      </c>
      <c r="G8" s="8">
        <f t="shared" si="3"/>
        <v>153.44827586206895</v>
      </c>
      <c r="H8" s="8">
        <f t="shared" si="1"/>
        <v>76.724137931034477</v>
      </c>
    </row>
    <row r="9" spans="1:10" x14ac:dyDescent="0.25">
      <c r="A9" s="33"/>
      <c r="B9" s="23">
        <v>45505</v>
      </c>
      <c r="C9" s="5">
        <v>4315</v>
      </c>
      <c r="D9" s="5">
        <v>10753</v>
      </c>
      <c r="E9" s="8">
        <f t="shared" si="0"/>
        <v>2.4920046349942062</v>
      </c>
      <c r="F9" s="8">
        <f>C9/(31/E9)</f>
        <v>346.87096774193549</v>
      </c>
      <c r="G9" s="8">
        <f>(C9/31)*2</f>
        <v>278.38709677419354</v>
      </c>
      <c r="H9" s="8">
        <f t="shared" si="1"/>
        <v>139.19354838709677</v>
      </c>
    </row>
    <row r="10" spans="1:10" x14ac:dyDescent="0.25">
      <c r="A10" s="33"/>
      <c r="B10" s="23">
        <v>45597</v>
      </c>
      <c r="C10" s="5">
        <v>193</v>
      </c>
      <c r="D10" s="5">
        <v>427</v>
      </c>
      <c r="E10" s="8">
        <f t="shared" si="0"/>
        <v>2.2124352331606216</v>
      </c>
      <c r="F10" s="8">
        <f>C10/(30/E10)</f>
        <v>14.233333333333333</v>
      </c>
      <c r="G10" s="8">
        <f>(C10/30)*2</f>
        <v>12.866666666666667</v>
      </c>
      <c r="H10" s="8">
        <f t="shared" si="1"/>
        <v>6.4333333333333336</v>
      </c>
    </row>
    <row r="11" spans="1:10" x14ac:dyDescent="0.25">
      <c r="A11" s="33" t="s">
        <v>93</v>
      </c>
      <c r="B11" s="23">
        <v>45323</v>
      </c>
      <c r="C11" s="5">
        <v>29335</v>
      </c>
      <c r="D11" s="5">
        <v>112114</v>
      </c>
      <c r="E11" s="8">
        <f t="shared" si="0"/>
        <v>3.8218510311914096</v>
      </c>
      <c r="F11" s="8">
        <f t="shared" si="2"/>
        <v>3866</v>
      </c>
      <c r="G11" s="8">
        <f t="shared" si="3"/>
        <v>2023.1034482758621</v>
      </c>
      <c r="H11" s="8">
        <f t="shared" si="1"/>
        <v>1011.551724137931</v>
      </c>
    </row>
    <row r="12" spans="1:10" x14ac:dyDescent="0.25">
      <c r="A12" s="33"/>
      <c r="B12" s="23">
        <v>45505</v>
      </c>
      <c r="C12" s="5">
        <v>34713</v>
      </c>
      <c r="D12" s="5">
        <v>86887</v>
      </c>
      <c r="E12" s="8">
        <f t="shared" si="0"/>
        <v>2.5030103995621236</v>
      </c>
      <c r="F12" s="8">
        <f>C12/(31/E12)</f>
        <v>2802.8064516129029</v>
      </c>
      <c r="G12" s="8">
        <f>(C12/31)*2</f>
        <v>2239.5483870967741</v>
      </c>
      <c r="H12" s="8">
        <f t="shared" si="1"/>
        <v>1119.7741935483871</v>
      </c>
    </row>
    <row r="13" spans="1:10" x14ac:dyDescent="0.25">
      <c r="A13" s="33"/>
      <c r="B13" s="23">
        <v>45597</v>
      </c>
      <c r="C13" s="5">
        <v>8681</v>
      </c>
      <c r="D13" s="5">
        <v>16093</v>
      </c>
      <c r="E13" s="8">
        <f t="shared" si="0"/>
        <v>1.8538186844833544</v>
      </c>
      <c r="F13" s="8">
        <f>C13/(30/E13)</f>
        <v>536.43333333333328</v>
      </c>
      <c r="G13" s="8">
        <f>(C13/30)*2</f>
        <v>578.73333333333335</v>
      </c>
      <c r="H13" s="8">
        <f t="shared" si="1"/>
        <v>289.36666666666667</v>
      </c>
    </row>
    <row r="15" spans="1:10" ht="30" customHeight="1" x14ac:dyDescent="0.25">
      <c r="A15" s="25" t="s">
        <v>101</v>
      </c>
      <c r="B15" s="5"/>
      <c r="C15" s="7" t="s">
        <v>86</v>
      </c>
      <c r="D15" s="5" t="s">
        <v>115</v>
      </c>
      <c r="E15" s="7" t="s">
        <v>102</v>
      </c>
      <c r="F15" s="7" t="s">
        <v>104</v>
      </c>
      <c r="G15" s="5" t="s">
        <v>120</v>
      </c>
      <c r="H15" s="5" t="s">
        <v>121</v>
      </c>
      <c r="I15" s="5" t="s">
        <v>131</v>
      </c>
      <c r="J15" s="5" t="s">
        <v>132</v>
      </c>
    </row>
    <row r="16" spans="1:10" x14ac:dyDescent="0.25">
      <c r="A16" s="20">
        <v>0.15</v>
      </c>
      <c r="B16" s="5"/>
      <c r="C16" s="12">
        <v>0.3</v>
      </c>
      <c r="D16" s="12">
        <v>0.1</v>
      </c>
      <c r="E16" s="12">
        <v>0.7</v>
      </c>
      <c r="F16" s="12">
        <v>0.3</v>
      </c>
      <c r="G16" s="12">
        <v>0.5</v>
      </c>
      <c r="H16" s="12">
        <v>0.5</v>
      </c>
      <c r="I16" s="12">
        <v>0.3</v>
      </c>
      <c r="J16" s="12">
        <v>0.7</v>
      </c>
    </row>
    <row r="17" spans="1:10" ht="45" x14ac:dyDescent="0.25">
      <c r="A17" s="5" t="s">
        <v>94</v>
      </c>
      <c r="B17" s="24" t="s">
        <v>40</v>
      </c>
      <c r="C17" s="7" t="s">
        <v>100</v>
      </c>
      <c r="D17" s="7" t="s">
        <v>143</v>
      </c>
      <c r="E17" s="7" t="s">
        <v>103</v>
      </c>
      <c r="F17" s="7" t="s">
        <v>141</v>
      </c>
      <c r="G17" s="7" t="s">
        <v>140</v>
      </c>
      <c r="H17" s="7" t="s">
        <v>142</v>
      </c>
      <c r="I17" s="7" t="s">
        <v>137</v>
      </c>
      <c r="J17" s="7" t="s">
        <v>138</v>
      </c>
    </row>
    <row r="18" spans="1:10" x14ac:dyDescent="0.25">
      <c r="A18" s="33" t="s">
        <v>90</v>
      </c>
      <c r="B18" s="23">
        <v>45323</v>
      </c>
      <c r="C18" s="8">
        <f>H2*C$16</f>
        <v>78.693103448275863</v>
      </c>
      <c r="D18" s="8">
        <f t="shared" ref="D18:D29" si="4">H2*$A$16*$D$16</f>
        <v>3.9346551724137933</v>
      </c>
      <c r="E18" s="8">
        <f>((F2*2)*$E$16*$A$16)/2</f>
        <v>120.78258620689653</v>
      </c>
      <c r="F18" s="8">
        <f>((F2*2)*$F$16*$A$16)/2/5</f>
        <v>10.352793103448274</v>
      </c>
      <c r="G18" s="8"/>
      <c r="H18" s="8"/>
      <c r="I18" s="8"/>
      <c r="J18" s="8"/>
    </row>
    <row r="19" spans="1:10" x14ac:dyDescent="0.25">
      <c r="A19" s="33"/>
      <c r="B19" s="23">
        <v>45505</v>
      </c>
      <c r="C19" s="8">
        <f t="shared" ref="C19:C29" si="5">H3*C$16</f>
        <v>71.099999999999994</v>
      </c>
      <c r="D19" s="8">
        <f t="shared" si="4"/>
        <v>3.5549999999999997</v>
      </c>
      <c r="E19" s="8"/>
      <c r="F19" s="8"/>
      <c r="G19" s="8">
        <f>((F3*2)*$G$16*$A$16)/2/7</f>
        <v>9.9832949308755747</v>
      </c>
      <c r="H19" s="8">
        <f>((F3*2)*$H$16*$A$16)/2/5</f>
        <v>13.976612903225805</v>
      </c>
      <c r="I19" s="8"/>
      <c r="J19" s="8"/>
    </row>
    <row r="20" spans="1:10" x14ac:dyDescent="0.25">
      <c r="A20" s="33"/>
      <c r="B20" s="23">
        <v>45597</v>
      </c>
      <c r="C20" s="8">
        <f>H4*C$16</f>
        <v>4.55</v>
      </c>
      <c r="D20" s="8">
        <f t="shared" si="4"/>
        <v>0.22750000000000001</v>
      </c>
      <c r="E20" s="8"/>
      <c r="F20" s="8"/>
      <c r="G20" s="8"/>
      <c r="H20" s="8"/>
      <c r="I20" s="8">
        <f t="shared" ref="I20:I26" si="6">((F4*2)*$I$16*$A$16)/2/4</f>
        <v>0.33974999999999994</v>
      </c>
      <c r="J20" s="8">
        <f>((F4*2)*$J$16*$A$16)/2/5</f>
        <v>0.63419999999999987</v>
      </c>
    </row>
    <row r="21" spans="1:10" x14ac:dyDescent="0.25">
      <c r="A21" s="33" t="s">
        <v>91</v>
      </c>
      <c r="B21" s="23">
        <v>45323</v>
      </c>
      <c r="C21" s="8">
        <f t="shared" si="5"/>
        <v>37.344827586206897</v>
      </c>
      <c r="D21" s="8">
        <f t="shared" si="4"/>
        <v>1.8672413793103448</v>
      </c>
      <c r="E21" s="8">
        <f>((F5*2)*$E$16*$A$16)/2</f>
        <v>48.328965517241379</v>
      </c>
      <c r="F21" s="8">
        <f>((F5*2)*$F$16*$A$16)/2/5</f>
        <v>4.1424827586206892</v>
      </c>
      <c r="G21" s="8"/>
      <c r="H21" s="8"/>
      <c r="I21" s="8"/>
      <c r="J21" s="8"/>
    </row>
    <row r="22" spans="1:10" x14ac:dyDescent="0.25">
      <c r="A22" s="33"/>
      <c r="B22" s="23">
        <v>45505</v>
      </c>
      <c r="C22" s="8">
        <f t="shared" si="5"/>
        <v>32.932258064516127</v>
      </c>
      <c r="D22" s="8">
        <f t="shared" si="4"/>
        <v>1.6466129032258063</v>
      </c>
      <c r="E22" s="8"/>
      <c r="F22" s="8"/>
      <c r="G22" s="8">
        <f>((F6*2)*$G$16*$A$16)/2/7</f>
        <v>3.6338709677419354</v>
      </c>
      <c r="H22" s="8">
        <f>((F6*2)*$H$16*$A$16)/2/5</f>
        <v>5.0874193548387101</v>
      </c>
      <c r="I22" s="8"/>
      <c r="J22" s="8"/>
    </row>
    <row r="23" spans="1:10" x14ac:dyDescent="0.25">
      <c r="A23" s="33"/>
      <c r="B23" s="23">
        <v>45597</v>
      </c>
      <c r="C23" s="8">
        <f t="shared" si="5"/>
        <v>9.4499999999999993</v>
      </c>
      <c r="D23" s="8">
        <f t="shared" si="4"/>
        <v>0.47249999999999998</v>
      </c>
      <c r="E23" s="8"/>
      <c r="F23" s="8"/>
      <c r="G23" s="8"/>
      <c r="H23" s="8"/>
      <c r="I23" s="8">
        <f>((F7*2)*$I$16*$A$16)/2/4</f>
        <v>0.83399999999999996</v>
      </c>
      <c r="J23" s="8">
        <f>((F7*2)*$J$16*$A$16)/2/5</f>
        <v>1.5567999999999995</v>
      </c>
    </row>
    <row r="24" spans="1:10" x14ac:dyDescent="0.25">
      <c r="A24" s="33" t="s">
        <v>92</v>
      </c>
      <c r="B24" s="23">
        <v>45323</v>
      </c>
      <c r="C24" s="8">
        <f t="shared" si="5"/>
        <v>23.017241379310342</v>
      </c>
      <c r="D24" s="8">
        <f t="shared" si="4"/>
        <v>1.1508620689655171</v>
      </c>
      <c r="E24" s="8">
        <f>((F8*2)*$E$16*$A$16)/2</f>
        <v>24.229655172413789</v>
      </c>
      <c r="F24" s="8">
        <f>((F8*2)*$F$16*$A$16)/2/5</f>
        <v>2.0768275862068966</v>
      </c>
      <c r="G24" s="8"/>
      <c r="H24" s="8"/>
      <c r="I24" s="8"/>
      <c r="J24" s="8"/>
    </row>
    <row r="25" spans="1:10" x14ac:dyDescent="0.25">
      <c r="A25" s="33"/>
      <c r="B25" s="23">
        <v>45505</v>
      </c>
      <c r="C25" s="8">
        <f>H9*C$16</f>
        <v>41.758064516129032</v>
      </c>
      <c r="D25" s="8">
        <f t="shared" si="4"/>
        <v>2.0879032258064516</v>
      </c>
      <c r="E25" s="8"/>
      <c r="F25" s="8"/>
      <c r="G25" s="8">
        <f>((F9*2)*$G$16*$A$16)/2/7</f>
        <v>3.7164746543778802</v>
      </c>
      <c r="H25" s="8">
        <f>((F9*2)*$H$16*$A$16)/2/5</f>
        <v>5.2030645161290323</v>
      </c>
      <c r="I25" s="8"/>
      <c r="J25" s="8"/>
    </row>
    <row r="26" spans="1:10" x14ac:dyDescent="0.25">
      <c r="A26" s="33"/>
      <c r="B26" s="23">
        <v>45597</v>
      </c>
      <c r="C26" s="8">
        <f t="shared" si="5"/>
        <v>1.93</v>
      </c>
      <c r="D26" s="8">
        <f t="shared" si="4"/>
        <v>9.6500000000000002E-2</v>
      </c>
      <c r="E26" s="8"/>
      <c r="F26" s="8"/>
      <c r="G26" s="8"/>
      <c r="H26" s="8"/>
      <c r="I26" s="8">
        <f t="shared" si="6"/>
        <v>0.16012499999999999</v>
      </c>
      <c r="J26" s="8">
        <f t="shared" ref="J26" si="7">((F10*2)*$J$16*$A$16)/2/5</f>
        <v>0.2989</v>
      </c>
    </row>
    <row r="27" spans="1:10" x14ac:dyDescent="0.25">
      <c r="A27" s="33" t="s">
        <v>93</v>
      </c>
      <c r="B27" s="23">
        <v>45323</v>
      </c>
      <c r="C27" s="8">
        <f t="shared" si="5"/>
        <v>303.4655172413793</v>
      </c>
      <c r="D27" s="8">
        <f t="shared" si="4"/>
        <v>15.173275862068966</v>
      </c>
      <c r="E27" s="8">
        <f>((F11*2)*$E$16*$A$16)/2</f>
        <v>405.92999999999995</v>
      </c>
      <c r="F27" s="8">
        <f>((F11*2)*$F$16*$A$16)/2/5</f>
        <v>34.793999999999997</v>
      </c>
      <c r="G27" s="8"/>
      <c r="H27" s="8"/>
      <c r="I27" s="8"/>
      <c r="J27" s="8"/>
    </row>
    <row r="28" spans="1:10" x14ac:dyDescent="0.25">
      <c r="A28" s="33"/>
      <c r="B28" s="23">
        <v>45505</v>
      </c>
      <c r="C28" s="8">
        <f>H12*C$16</f>
        <v>335.93225806451613</v>
      </c>
      <c r="D28" s="8">
        <f t="shared" si="4"/>
        <v>16.796612903225807</v>
      </c>
      <c r="E28" s="8"/>
      <c r="F28" s="8"/>
      <c r="G28" s="8">
        <f>((F12*2)*$G$16*$A$16)/2/7</f>
        <v>30.03006912442396</v>
      </c>
      <c r="H28" s="8">
        <f>((F12*2)*$H$16*$A$16)/2/5</f>
        <v>42.042096774193546</v>
      </c>
      <c r="I28" s="8"/>
      <c r="J28" s="8"/>
    </row>
    <row r="29" spans="1:10" x14ac:dyDescent="0.25">
      <c r="A29" s="33"/>
      <c r="B29" s="23">
        <v>45597</v>
      </c>
      <c r="C29" s="8">
        <f t="shared" si="5"/>
        <v>86.81</v>
      </c>
      <c r="D29" s="8">
        <f t="shared" si="4"/>
        <v>4.3405000000000005</v>
      </c>
      <c r="E29" s="8"/>
      <c r="F29" s="8"/>
      <c r="G29" s="8"/>
      <c r="H29" s="8"/>
      <c r="I29" s="8">
        <f>((F13*2)*$I$16*$A$16)/2/4</f>
        <v>6.0348749999999987</v>
      </c>
      <c r="J29" s="8">
        <f>((F13*2)*$J$16*$A$16)/2/5</f>
        <v>11.265099999999999</v>
      </c>
    </row>
    <row r="31" spans="1:10" x14ac:dyDescent="0.25">
      <c r="C31" s="5" t="s">
        <v>40</v>
      </c>
      <c r="D31" s="5" t="s">
        <v>136</v>
      </c>
    </row>
    <row r="32" spans="1:10" x14ac:dyDescent="0.25">
      <c r="C32" s="11">
        <v>45323</v>
      </c>
      <c r="D32" s="8">
        <f>(79+37+23+303)*2+(4+2+1+15)*2+(121+48+24+406)*2+(10+4+2+35)*5*2</f>
        <v>2636</v>
      </c>
    </row>
    <row r="33" spans="3:4" x14ac:dyDescent="0.25">
      <c r="C33" s="11">
        <v>45505</v>
      </c>
      <c r="D33" s="8">
        <f>(71+33+42+336)*2+(4+2+2+14)*2+(10+4+4+30)*2*7+(14+5+5+42)*2*5</f>
        <v>2340</v>
      </c>
    </row>
    <row r="34" spans="3:4" x14ac:dyDescent="0.25">
      <c r="C34" s="11">
        <v>45597</v>
      </c>
      <c r="D34" s="8">
        <f>(5+9+2+87)*2+(1+1+1+4)*2+(1+1+1+6)*4*2+(1+2+1+11)*5*2</f>
        <v>442</v>
      </c>
    </row>
  </sheetData>
  <mergeCells count="8">
    <mergeCell ref="A24:A26"/>
    <mergeCell ref="A27:A29"/>
    <mergeCell ref="A2:A4"/>
    <mergeCell ref="A5:A7"/>
    <mergeCell ref="A8:A10"/>
    <mergeCell ref="A11:A13"/>
    <mergeCell ref="A18:A20"/>
    <mergeCell ref="A21:A2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hotel alldata</vt:lpstr>
      <vt:lpstr>hotel studyarea</vt:lpstr>
      <vt:lpstr>hotel finalarea</vt:lpstr>
      <vt:lpstr>hotel overnightstay customcurve</vt:lpstr>
      <vt:lpstr>non-hotel alldata</vt:lpstr>
      <vt:lpstr>non-hotel studyarea</vt:lpstr>
      <vt:lpstr>non-hotel finalarea</vt:lpstr>
      <vt:lpstr>campgrounds</vt:lpstr>
      <vt:lpstr>campgrounds shortterm alldata</vt:lpstr>
      <vt:lpstr>campgrounds shortterm studyarea</vt:lpstr>
      <vt:lpstr>campgrounds shortterm finalarea</vt:lpstr>
      <vt:lpstr>campgrounds longterm alldata</vt:lpstr>
      <vt:lpstr>campgrounds longterm studyarea</vt:lpstr>
      <vt:lpstr>campgrounds longterm finalarea</vt:lpstr>
      <vt:lpstr>daytrip tourists alldata</vt:lpstr>
      <vt:lpstr>daytrip tourists studyarea</vt:lpstr>
      <vt:lpstr>daytrip tourists finalarea</vt:lpstr>
      <vt:lpstr>total tourists alldata</vt:lpstr>
      <vt:lpstr>total tourists studyarea</vt:lpstr>
      <vt:lpstr>total tourists finalarea</vt:lpstr>
      <vt:lpstr>tourists private acco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2026-03-17T03:52:24Z</dcterms:created>
  <dcterms:modified xsi:type="dcterms:W3CDTF">2026-06-12T21:44:40Z</dcterms:modified>
</cp:coreProperties>
</file>