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tw-my.sharepoint.com/personal/wi24m042_technikum-wien_at/Documents/"/>
    </mc:Choice>
  </mc:AlternateContent>
  <xr:revisionPtr revIDLastSave="304" documentId="8_{F4445B92-B478-40FA-B1A5-8EC6EFC37FB0}" xr6:coauthVersionLast="47" xr6:coauthVersionMax="47" xr10:uidLastSave="{E31C4709-951C-407A-AE30-30F6F4A2EFC9}"/>
  <bookViews>
    <workbookView xWindow="38280" yWindow="-120" windowWidth="38640" windowHeight="21120" activeTab="1" xr2:uid="{FF53F1D9-48DE-480D-A34E-7DE968632411}"/>
  </bookViews>
  <sheets>
    <sheet name="Population change 2018 to 2024" sheetId="1" r:id="rId1"/>
    <sheet name="Laborforce adjustment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2" l="1"/>
  <c r="I88" i="2" l="1"/>
  <c r="F94" i="2"/>
  <c r="L5" i="2"/>
  <c r="L4" i="2"/>
  <c r="L3" i="2"/>
  <c r="F158" i="2"/>
  <c r="F15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" i="2"/>
  <c r="I145" i="2"/>
  <c r="I122" i="2"/>
  <c r="I114" i="2"/>
  <c r="F49" i="2"/>
  <c r="F50" i="2"/>
  <c r="F51" i="2"/>
  <c r="F52" i="2"/>
  <c r="F53" i="2"/>
  <c r="F54" i="2"/>
  <c r="F55" i="2"/>
  <c r="F64" i="2"/>
  <c r="F68" i="2"/>
  <c r="F69" i="2"/>
  <c r="F70" i="2"/>
  <c r="F82" i="2"/>
  <c r="F83" i="2"/>
  <c r="F86" i="2"/>
  <c r="F102" i="2"/>
  <c r="F103" i="2"/>
  <c r="F104" i="2"/>
  <c r="F105" i="2"/>
  <c r="F106" i="2"/>
  <c r="F107" i="2"/>
  <c r="F114" i="2"/>
  <c r="F118" i="2"/>
  <c r="F119" i="2"/>
  <c r="F123" i="2"/>
  <c r="F132" i="2"/>
  <c r="F133" i="2"/>
  <c r="F134" i="2"/>
  <c r="F135" i="2"/>
  <c r="F139" i="2"/>
  <c r="F153" i="2"/>
  <c r="D46" i="2"/>
  <c r="F46" i="2" s="1"/>
  <c r="D123" i="2"/>
  <c r="D124" i="2"/>
  <c r="F124" i="2" s="1"/>
  <c r="D125" i="2"/>
  <c r="F125" i="2" s="1"/>
  <c r="D126" i="2"/>
  <c r="F126" i="2" s="1"/>
  <c r="D127" i="2"/>
  <c r="F127" i="2" s="1"/>
  <c r="D128" i="2"/>
  <c r="F128" i="2" s="1"/>
  <c r="D129" i="2"/>
  <c r="F129" i="2" s="1"/>
  <c r="D130" i="2"/>
  <c r="F130" i="2" s="1"/>
  <c r="D122" i="2"/>
  <c r="F122" i="2" s="1"/>
  <c r="D115" i="2"/>
  <c r="F115" i="2" s="1"/>
  <c r="D116" i="2"/>
  <c r="F116" i="2" s="1"/>
  <c r="D117" i="2"/>
  <c r="F117" i="2" s="1"/>
  <c r="D118" i="2"/>
  <c r="D119" i="2"/>
  <c r="D120" i="2"/>
  <c r="F120" i="2" s="1"/>
  <c r="D121" i="2"/>
  <c r="F121" i="2" s="1"/>
  <c r="D114" i="2"/>
  <c r="D103" i="2"/>
  <c r="D104" i="2"/>
  <c r="D105" i="2"/>
  <c r="D106" i="2"/>
  <c r="D107" i="2"/>
  <c r="D108" i="2"/>
  <c r="F108" i="2" s="1"/>
  <c r="D109" i="2"/>
  <c r="F109" i="2" s="1"/>
  <c r="D110" i="2"/>
  <c r="F110" i="2" s="1"/>
  <c r="D111" i="2"/>
  <c r="F111" i="2" s="1"/>
  <c r="D112" i="2"/>
  <c r="F112" i="2" s="1"/>
  <c r="D113" i="2"/>
  <c r="F113" i="2" s="1"/>
  <c r="D102" i="2"/>
  <c r="D65" i="2"/>
  <c r="F65" i="2" s="1"/>
  <c r="D66" i="2"/>
  <c r="F66" i="2" s="1"/>
  <c r="D67" i="2"/>
  <c r="F67" i="2" s="1"/>
  <c r="D68" i="2"/>
  <c r="D69" i="2"/>
  <c r="D70" i="2"/>
  <c r="D64" i="2"/>
  <c r="D54" i="2"/>
  <c r="D55" i="2"/>
  <c r="D56" i="2"/>
  <c r="F56" i="2" s="1"/>
  <c r="D57" i="2"/>
  <c r="F57" i="2" s="1"/>
  <c r="D58" i="2"/>
  <c r="F58" i="2" s="1"/>
  <c r="D59" i="2"/>
  <c r="F59" i="2" s="1"/>
  <c r="D60" i="2"/>
  <c r="F60" i="2" s="1"/>
  <c r="D61" i="2"/>
  <c r="F61" i="2" s="1"/>
  <c r="D62" i="2"/>
  <c r="F62" i="2" s="1"/>
  <c r="D63" i="2"/>
  <c r="F63" i="2" s="1"/>
  <c r="D53" i="2"/>
  <c r="D48" i="2"/>
  <c r="F48" i="2" s="1"/>
  <c r="D49" i="2"/>
  <c r="D50" i="2"/>
  <c r="D51" i="2"/>
  <c r="D52" i="2"/>
  <c r="D47" i="2"/>
  <c r="F4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37" i="2"/>
  <c r="F37" i="2" s="1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F34" i="2" s="1"/>
  <c r="D35" i="2"/>
  <c r="F35" i="2" s="1"/>
  <c r="D36" i="2"/>
  <c r="F36" i="2" s="1"/>
  <c r="D26" i="2"/>
  <c r="F26" i="2" s="1"/>
  <c r="D77" i="2"/>
  <c r="F77" i="2" s="1"/>
  <c r="D12" i="1"/>
  <c r="D101" i="2" s="1"/>
  <c r="F101" i="2" s="1"/>
  <c r="D76" i="2"/>
  <c r="F76" i="2" s="1"/>
  <c r="D78" i="2"/>
  <c r="F78" i="2" s="1"/>
  <c r="D79" i="2"/>
  <c r="F79" i="2" s="1"/>
  <c r="D80" i="2"/>
  <c r="F80" i="2" s="1"/>
  <c r="D81" i="2"/>
  <c r="F81" i="2" s="1"/>
  <c r="D82" i="2"/>
  <c r="D83" i="2"/>
  <c r="D86" i="2"/>
  <c r="D153" i="2"/>
  <c r="D145" i="2"/>
  <c r="F145" i="2" s="1"/>
  <c r="D132" i="2"/>
  <c r="D133" i="2"/>
  <c r="D134" i="2"/>
  <c r="D135" i="2"/>
  <c r="D139" i="2"/>
  <c r="D140" i="2"/>
  <c r="F140" i="2" s="1"/>
  <c r="D141" i="2"/>
  <c r="F141" i="2" s="1"/>
  <c r="D142" i="2"/>
  <c r="F142" i="2" s="1"/>
  <c r="D143" i="2"/>
  <c r="F143" i="2" s="1"/>
  <c r="D144" i="2"/>
  <c r="F144" i="2" s="1"/>
  <c r="D3" i="1"/>
  <c r="D146" i="2" s="1"/>
  <c r="F146" i="2" s="1"/>
  <c r="D4" i="1"/>
  <c r="D5" i="1"/>
  <c r="D6" i="1"/>
  <c r="D7" i="1"/>
  <c r="D8" i="1"/>
  <c r="D9" i="1"/>
  <c r="D72" i="2" s="1"/>
  <c r="F72" i="2" s="1"/>
  <c r="D10" i="1"/>
  <c r="D11" i="1"/>
  <c r="D13" i="1"/>
  <c r="D136" i="2" s="1"/>
  <c r="F136" i="2" s="1"/>
  <c r="D2" i="1"/>
  <c r="D100" i="2" l="1"/>
  <c r="F100" i="2" s="1"/>
  <c r="D99" i="2"/>
  <c r="F99" i="2" s="1"/>
  <c r="D98" i="2"/>
  <c r="F98" i="2" s="1"/>
  <c r="D97" i="2"/>
  <c r="F97" i="2" s="1"/>
  <c r="D96" i="2"/>
  <c r="F96" i="2" s="1"/>
  <c r="D95" i="2"/>
  <c r="F95" i="2" s="1"/>
  <c r="D152" i="2"/>
  <c r="F152" i="2" s="1"/>
  <c r="D94" i="2"/>
  <c r="D151" i="2"/>
  <c r="F151" i="2" s="1"/>
  <c r="D93" i="2"/>
  <c r="F93" i="2" s="1"/>
  <c r="D150" i="2"/>
  <c r="F150" i="2" s="1"/>
  <c r="D92" i="2"/>
  <c r="F92" i="2" s="1"/>
  <c r="D149" i="2"/>
  <c r="F149" i="2" s="1"/>
  <c r="D91" i="2"/>
  <c r="F91" i="2" s="1"/>
  <c r="D148" i="2"/>
  <c r="F148" i="2" s="1"/>
  <c r="D90" i="2"/>
  <c r="F90" i="2" s="1"/>
  <c r="D147" i="2"/>
  <c r="F147" i="2" s="1"/>
  <c r="D89" i="2"/>
  <c r="F89" i="2" s="1"/>
  <c r="D71" i="2"/>
  <c r="F71" i="2" s="1"/>
  <c r="D138" i="2"/>
  <c r="F138" i="2" s="1"/>
  <c r="D131" i="2"/>
  <c r="F131" i="2" s="1"/>
  <c r="D87" i="2"/>
  <c r="F87" i="2" s="1"/>
  <c r="D137" i="2"/>
  <c r="F137" i="2" s="1"/>
  <c r="D88" i="2"/>
  <c r="F88" i="2" s="1"/>
  <c r="D85" i="2"/>
  <c r="F85" i="2" s="1"/>
  <c r="D84" i="2"/>
  <c r="F84" i="2" s="1"/>
  <c r="D75" i="2"/>
  <c r="F75" i="2" s="1"/>
  <c r="D74" i="2"/>
  <c r="F74" i="2" s="1"/>
  <c r="D73" i="2"/>
  <c r="F73" i="2" s="1"/>
</calcChain>
</file>

<file path=xl/sharedStrings.xml><?xml version="1.0" encoding="utf-8"?>
<sst xmlns="http://schemas.openxmlformats.org/spreadsheetml/2006/main" count="415" uniqueCount="70">
  <si>
    <t>Bever</t>
  </si>
  <si>
    <t>Bregaglia</t>
  </si>
  <si>
    <t>Celerina/Schlarigna</t>
  </si>
  <si>
    <t>La Punt Chamues-ch</t>
  </si>
  <si>
    <t>Madulain</t>
  </si>
  <si>
    <t>Pontresina</t>
  </si>
  <si>
    <t>S-chanf</t>
  </si>
  <si>
    <t>Samedan</t>
  </si>
  <si>
    <t>Sils im Engadin/Segl</t>
  </si>
  <si>
    <t>Silvaplana</t>
  </si>
  <si>
    <t>St. Moritz</t>
  </si>
  <si>
    <t>Zuoz</t>
  </si>
  <si>
    <t>Vaz/Obervaz (home)</t>
  </si>
  <si>
    <t>St. Moritz (work)</t>
  </si>
  <si>
    <t>Surses (home)</t>
  </si>
  <si>
    <t>Samedan (work)</t>
  </si>
  <si>
    <t>Silvaplana (work)</t>
  </si>
  <si>
    <t>Bregaglia (work)</t>
  </si>
  <si>
    <t>Brusio (home)</t>
  </si>
  <si>
    <t>Pontresina (work)</t>
  </si>
  <si>
    <t>Poschiavo (home)</t>
  </si>
  <si>
    <t>Celerina/Schlarigna (work)</t>
  </si>
  <si>
    <t>Domat/Ems (home)</t>
  </si>
  <si>
    <t>Zernez (home)</t>
  </si>
  <si>
    <t>Bever (work)</t>
  </si>
  <si>
    <t>La Punt Chamues-ch (work)</t>
  </si>
  <si>
    <t>S-chanf (work)</t>
  </si>
  <si>
    <t>Zuoz (work)</t>
  </si>
  <si>
    <t>Scuol (home)</t>
  </si>
  <si>
    <t>Bever (home)</t>
  </si>
  <si>
    <t>Thusis (work)</t>
  </si>
  <si>
    <t>Chur (work)</t>
  </si>
  <si>
    <t>Unknown (work)</t>
  </si>
  <si>
    <t>Celerina/Schlarigna (home)</t>
  </si>
  <si>
    <t>Sils im Engadin/Segl (work)</t>
  </si>
  <si>
    <t>Madulain (home)</t>
  </si>
  <si>
    <t>Madulain (work)</t>
  </si>
  <si>
    <t>Pontresina (home)</t>
  </si>
  <si>
    <t>La Punt Chamues-ch (home)</t>
  </si>
  <si>
    <t>Samedan (home)</t>
  </si>
  <si>
    <t>Zernez (work)</t>
  </si>
  <si>
    <t>Scuol (work)</t>
  </si>
  <si>
    <t>Davos (work)</t>
  </si>
  <si>
    <t>Landquart (work)</t>
  </si>
  <si>
    <t>St. Moritz (home)</t>
  </si>
  <si>
    <t>S-chanf (home)</t>
  </si>
  <si>
    <t>Sils im Engadin/Segl (home)</t>
  </si>
  <si>
    <t>Silvaplana (home)</t>
  </si>
  <si>
    <t>Zuoz (home)</t>
  </si>
  <si>
    <t>Bregaglia (home)</t>
  </si>
  <si>
    <t>Val MÃ¼stair (home)</t>
  </si>
  <si>
    <t>Davos (home)</t>
  </si>
  <si>
    <t>Chur (home)</t>
  </si>
  <si>
    <t>Lugano (home)</t>
  </si>
  <si>
    <t>Municipality</t>
  </si>
  <si>
    <t>Population between 20 and 64 in 2018</t>
  </si>
  <si>
    <t>Population between 20 and 64 in 2024</t>
  </si>
  <si>
    <t>Home Municipality</t>
  </si>
  <si>
    <t>Work Municipality</t>
  </si>
  <si>
    <t>Population between 20 and 64 change from 2018 to 2024</t>
  </si>
  <si>
    <t>Number of people traveling between the home and work municipality for work in 2018</t>
  </si>
  <si>
    <t>Number of people traveling between the home and work municipality for work in 2024 estimated based on population changes</t>
  </si>
  <si>
    <t>Assumed share of the population using public transportation for their work commute</t>
  </si>
  <si>
    <t>Assumed number of people using public transportation for their work commute</t>
  </si>
  <si>
    <t>Commute between municipalities in the study area</t>
  </si>
  <si>
    <t>yes</t>
  </si>
  <si>
    <t>Commute between a home municipality outside the study area and a destination in the study area (from St. Moritz Sink)</t>
  </si>
  <si>
    <t>Commute between the home municipality inside the study area and a destination to the east (to St. Moritz Sink)</t>
  </si>
  <si>
    <t>Total population going from their home municipality inside the study area to the St. Moritz Sink on their way to work by municipality</t>
  </si>
  <si>
    <t>Total population going to a municipality inside the study area from the the St. Moritz Sink on their way to work by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</si>
</sst>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8789-5337-4DB3-91BF-81A39C396217}">
  <dimension ref="A1:D13"/>
  <sheetViews>
    <sheetView workbookViewId="0">
      <selection activeCell="C22" sqref="C22"/>
    </sheetView>
  </sheetViews>
  <sheetFormatPr baseColWidth="10" defaultRowHeight="15" x14ac:dyDescent="0.25"/>
  <cols>
    <col min="1" max="1" width="19.140625" bestFit="1" customWidth="1"/>
    <col min="2" max="3" width="34.28515625" bestFit="1" customWidth="1"/>
    <col min="4" max="4" width="50.5703125" bestFit="1" customWidth="1"/>
    <col min="5" max="5" width="33.85546875" bestFit="1" customWidth="1"/>
    <col min="8" max="8" width="38.140625" bestFit="1" customWidth="1"/>
  </cols>
  <sheetData>
    <row r="1" spans="1:4" x14ac:dyDescent="0.25">
      <c r="A1" s="3" t="s">
        <v>54</v>
      </c>
      <c r="B1" s="3" t="s">
        <v>55</v>
      </c>
      <c r="C1" s="3" t="s">
        <v>56</v>
      </c>
      <c r="D1" s="3" t="s">
        <v>59</v>
      </c>
    </row>
    <row r="2" spans="1:4" x14ac:dyDescent="0.25">
      <c r="A2" s="3" t="s">
        <v>0</v>
      </c>
      <c r="B2" s="3">
        <v>411</v>
      </c>
      <c r="C2" s="3">
        <v>422</v>
      </c>
      <c r="D2" s="4">
        <f>C2/B2</f>
        <v>1.02676399026764</v>
      </c>
    </row>
    <row r="3" spans="1:4" x14ac:dyDescent="0.25">
      <c r="A3" s="3" t="s">
        <v>1</v>
      </c>
      <c r="B3" s="3">
        <v>895</v>
      </c>
      <c r="C3" s="3">
        <v>852</v>
      </c>
      <c r="D3" s="4">
        <f t="shared" ref="D3:D13" si="0">C3/B3</f>
        <v>0.95195530726256983</v>
      </c>
    </row>
    <row r="4" spans="1:4" x14ac:dyDescent="0.25">
      <c r="A4" s="3" t="s">
        <v>2</v>
      </c>
      <c r="B4" s="3">
        <v>1041</v>
      </c>
      <c r="C4" s="3">
        <v>949</v>
      </c>
      <c r="D4" s="4">
        <f t="shared" si="0"/>
        <v>0.91162343900096066</v>
      </c>
    </row>
    <row r="5" spans="1:4" x14ac:dyDescent="0.25">
      <c r="A5" s="3" t="s">
        <v>3</v>
      </c>
      <c r="B5" s="3">
        <v>474</v>
      </c>
      <c r="C5" s="3">
        <v>457</v>
      </c>
      <c r="D5" s="4">
        <f t="shared" si="0"/>
        <v>0.96413502109704641</v>
      </c>
    </row>
    <row r="6" spans="1:4" x14ac:dyDescent="0.25">
      <c r="A6" s="3" t="s">
        <v>4</v>
      </c>
      <c r="B6" s="3">
        <v>125</v>
      </c>
      <c r="C6" s="3">
        <v>115</v>
      </c>
      <c r="D6" s="4">
        <f t="shared" si="0"/>
        <v>0.92</v>
      </c>
    </row>
    <row r="7" spans="1:4" x14ac:dyDescent="0.25">
      <c r="A7" s="3" t="s">
        <v>5</v>
      </c>
      <c r="B7" s="3">
        <v>1615</v>
      </c>
      <c r="C7" s="3">
        <v>1540</v>
      </c>
      <c r="D7" s="4">
        <f t="shared" si="0"/>
        <v>0.95356037151702788</v>
      </c>
    </row>
    <row r="8" spans="1:4" x14ac:dyDescent="0.25">
      <c r="A8" s="3" t="s">
        <v>6</v>
      </c>
      <c r="B8" s="3">
        <v>416</v>
      </c>
      <c r="C8" s="3">
        <v>446</v>
      </c>
      <c r="D8" s="4">
        <f t="shared" si="0"/>
        <v>1.0721153846153846</v>
      </c>
    </row>
    <row r="9" spans="1:4" x14ac:dyDescent="0.25">
      <c r="A9" s="3" t="s">
        <v>7</v>
      </c>
      <c r="B9" s="3">
        <v>1924</v>
      </c>
      <c r="C9" s="3">
        <v>1920</v>
      </c>
      <c r="D9" s="4">
        <f t="shared" si="0"/>
        <v>0.99792099792099798</v>
      </c>
    </row>
    <row r="10" spans="1:4" x14ac:dyDescent="0.25">
      <c r="A10" s="3" t="s">
        <v>8</v>
      </c>
      <c r="B10" s="3">
        <v>539</v>
      </c>
      <c r="C10" s="3">
        <v>514</v>
      </c>
      <c r="D10" s="4">
        <f t="shared" si="0"/>
        <v>0.95361781076066787</v>
      </c>
    </row>
    <row r="11" spans="1:4" x14ac:dyDescent="0.25">
      <c r="A11" s="3" t="s">
        <v>9</v>
      </c>
      <c r="B11" s="3">
        <v>771</v>
      </c>
      <c r="C11" s="3">
        <v>760</v>
      </c>
      <c r="D11" s="4">
        <f t="shared" si="0"/>
        <v>0.9857328145265889</v>
      </c>
    </row>
    <row r="12" spans="1:4" x14ac:dyDescent="0.25">
      <c r="A12" s="3" t="s">
        <v>10</v>
      </c>
      <c r="B12" s="3">
        <v>4488</v>
      </c>
      <c r="C12" s="3">
        <v>4832</v>
      </c>
      <c r="D12" s="4">
        <f>C12/B12</f>
        <v>1.0766488413547237</v>
      </c>
    </row>
    <row r="13" spans="1:4" x14ac:dyDescent="0.25">
      <c r="A13" s="3" t="s">
        <v>11</v>
      </c>
      <c r="B13" s="3">
        <v>723</v>
      </c>
      <c r="C13" s="3">
        <v>691</v>
      </c>
      <c r="D13" s="4">
        <f t="shared" si="0"/>
        <v>0.95573997233748276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2B64-E4D7-49F7-9FF2-328360AB4FA1}">
  <dimension ref="A1:M165"/>
  <sheetViews>
    <sheetView tabSelected="1" workbookViewId="0">
      <selection activeCell="G1" sqref="G1"/>
    </sheetView>
  </sheetViews>
  <sheetFormatPr baseColWidth="10" defaultRowHeight="15" x14ac:dyDescent="0.25"/>
  <cols>
    <col min="1" max="1" width="26.140625" bestFit="1" customWidth="1"/>
    <col min="2" max="2" width="25.42578125" bestFit="1" customWidth="1"/>
    <col min="3" max="3" width="25.85546875" customWidth="1"/>
    <col min="4" max="4" width="40" customWidth="1"/>
    <col min="5" max="5" width="31" customWidth="1"/>
    <col min="6" max="6" width="30.42578125" bestFit="1" customWidth="1"/>
    <col min="7" max="7" width="17.28515625" bestFit="1" customWidth="1"/>
    <col min="8" max="8" width="37.28515625" bestFit="1" customWidth="1"/>
    <col min="9" max="9" width="43.140625" bestFit="1" customWidth="1"/>
    <col min="10" max="10" width="36.85546875" bestFit="1" customWidth="1"/>
    <col min="11" max="11" width="4" bestFit="1" customWidth="1"/>
    <col min="12" max="12" width="39.140625" bestFit="1" customWidth="1"/>
    <col min="13" max="13" width="25.140625" bestFit="1" customWidth="1"/>
  </cols>
  <sheetData>
    <row r="1" spans="1:13" ht="45" customHeight="1" x14ac:dyDescent="0.25">
      <c r="A1" s="3" t="s">
        <v>57</v>
      </c>
      <c r="B1" s="3" t="s">
        <v>58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67</v>
      </c>
      <c r="I1" s="5" t="s">
        <v>68</v>
      </c>
      <c r="J1" s="5" t="s">
        <v>66</v>
      </c>
      <c r="L1" s="5" t="s">
        <v>69</v>
      </c>
      <c r="M1" s="3" t="s">
        <v>58</v>
      </c>
    </row>
    <row r="2" spans="1:13" x14ac:dyDescent="0.25">
      <c r="A2" s="3" t="s">
        <v>12</v>
      </c>
      <c r="B2" s="3" t="s">
        <v>13</v>
      </c>
      <c r="C2" s="3">
        <v>6</v>
      </c>
      <c r="D2" s="3"/>
      <c r="E2" s="6">
        <v>0.2</v>
      </c>
      <c r="F2" s="7">
        <f>C2*E2</f>
        <v>1.2000000000000002</v>
      </c>
      <c r="G2" s="3"/>
      <c r="H2" s="3"/>
      <c r="I2" s="3"/>
      <c r="J2" s="3" t="s">
        <v>65</v>
      </c>
      <c r="L2" s="7">
        <f>(F2+F4+F9+F13+F14+F20+F24+F31+F41+F50+F58+F68+F78+F109+F139+F155+F158)/2</f>
        <v>124.67551694178229</v>
      </c>
      <c r="M2" s="3" t="s">
        <v>13</v>
      </c>
    </row>
    <row r="3" spans="1:13" x14ac:dyDescent="0.25">
      <c r="A3" s="3" t="s">
        <v>14</v>
      </c>
      <c r="B3" s="3" t="s">
        <v>15</v>
      </c>
      <c r="C3" s="3">
        <v>5</v>
      </c>
      <c r="D3" s="3"/>
      <c r="E3" s="3"/>
      <c r="F3" s="7">
        <f t="shared" ref="F3:F25" si="0">C3*E3</f>
        <v>0</v>
      </c>
      <c r="G3" s="3"/>
      <c r="H3" s="3"/>
      <c r="I3" s="3"/>
      <c r="J3" s="3"/>
      <c r="L3" s="7">
        <f>(F5+F30+F43+F60+F81+F141)</f>
        <v>33.42535943800425</v>
      </c>
      <c r="M3" s="3" t="s">
        <v>16</v>
      </c>
    </row>
    <row r="4" spans="1:13" x14ac:dyDescent="0.25">
      <c r="A4" s="3" t="s">
        <v>14</v>
      </c>
      <c r="B4" s="3" t="s">
        <v>13</v>
      </c>
      <c r="C4" s="3">
        <v>13</v>
      </c>
      <c r="D4" s="3"/>
      <c r="E4" s="6">
        <v>0.2</v>
      </c>
      <c r="F4" s="7">
        <f t="shared" si="0"/>
        <v>2.6</v>
      </c>
      <c r="G4" s="3"/>
      <c r="H4" s="3"/>
      <c r="I4" s="3"/>
      <c r="J4" s="3" t="s">
        <v>65</v>
      </c>
      <c r="L4" s="7">
        <f>(F42+F59+F80)</f>
        <v>6.6896115912309559</v>
      </c>
      <c r="M4" s="3" t="s">
        <v>34</v>
      </c>
    </row>
    <row r="5" spans="1:13" x14ac:dyDescent="0.25">
      <c r="A5" s="3" t="s">
        <v>14</v>
      </c>
      <c r="B5" s="3" t="s">
        <v>16</v>
      </c>
      <c r="C5" s="3">
        <v>7</v>
      </c>
      <c r="D5" s="3"/>
      <c r="E5" s="6">
        <v>0.2</v>
      </c>
      <c r="F5" s="7">
        <f t="shared" si="0"/>
        <v>1.4000000000000001</v>
      </c>
      <c r="G5" s="3"/>
      <c r="H5" s="3"/>
      <c r="I5" s="3"/>
      <c r="J5" s="3" t="s">
        <v>65</v>
      </c>
      <c r="L5" s="7">
        <f>(F6)</f>
        <v>1</v>
      </c>
      <c r="M5" s="3" t="s">
        <v>17</v>
      </c>
    </row>
    <row r="6" spans="1:13" x14ac:dyDescent="0.25">
      <c r="A6" s="3" t="s">
        <v>14</v>
      </c>
      <c r="B6" s="3" t="s">
        <v>17</v>
      </c>
      <c r="C6" s="3">
        <v>5</v>
      </c>
      <c r="D6" s="3"/>
      <c r="E6" s="6">
        <v>0.2</v>
      </c>
      <c r="F6" s="7">
        <f t="shared" si="0"/>
        <v>1</v>
      </c>
      <c r="G6" s="3"/>
      <c r="H6" s="3"/>
      <c r="I6" s="3"/>
      <c r="J6" s="3" t="s">
        <v>65</v>
      </c>
    </row>
    <row r="7" spans="1:13" x14ac:dyDescent="0.25">
      <c r="A7" s="3" t="s">
        <v>18</v>
      </c>
      <c r="B7" s="3" t="s">
        <v>19</v>
      </c>
      <c r="C7" s="3">
        <v>9</v>
      </c>
      <c r="D7" s="3"/>
      <c r="E7" s="3"/>
      <c r="F7" s="7">
        <f t="shared" si="0"/>
        <v>0</v>
      </c>
      <c r="G7" s="3"/>
      <c r="H7" s="3"/>
      <c r="I7" s="3"/>
      <c r="J7" s="3"/>
    </row>
    <row r="8" spans="1:13" x14ac:dyDescent="0.25">
      <c r="A8" s="3" t="s">
        <v>18</v>
      </c>
      <c r="B8" s="3" t="s">
        <v>15</v>
      </c>
      <c r="C8" s="3">
        <v>27</v>
      </c>
      <c r="D8" s="3"/>
      <c r="E8" s="3"/>
      <c r="F8" s="7">
        <f t="shared" si="0"/>
        <v>0</v>
      </c>
      <c r="G8" s="3"/>
      <c r="H8" s="3"/>
      <c r="I8" s="3"/>
      <c r="J8" s="3"/>
    </row>
    <row r="9" spans="1:13" x14ac:dyDescent="0.25">
      <c r="A9" s="3" t="s">
        <v>18</v>
      </c>
      <c r="B9" s="3" t="s">
        <v>13</v>
      </c>
      <c r="C9" s="3">
        <v>27</v>
      </c>
      <c r="D9" s="3"/>
      <c r="E9" s="6">
        <v>0.2</v>
      </c>
      <c r="F9" s="7">
        <f t="shared" si="0"/>
        <v>5.4</v>
      </c>
      <c r="G9" s="3"/>
      <c r="H9" s="3"/>
      <c r="I9" s="3"/>
      <c r="J9" s="3" t="s">
        <v>65</v>
      </c>
    </row>
    <row r="10" spans="1:13" x14ac:dyDescent="0.25">
      <c r="A10" s="3" t="s">
        <v>20</v>
      </c>
      <c r="B10" s="3" t="s">
        <v>21</v>
      </c>
      <c r="C10" s="3">
        <v>6</v>
      </c>
      <c r="D10" s="3"/>
      <c r="E10" s="3"/>
      <c r="F10" s="7">
        <f t="shared" si="0"/>
        <v>0</v>
      </c>
      <c r="G10" s="3"/>
      <c r="H10" s="3"/>
      <c r="I10" s="3"/>
      <c r="J10" s="3"/>
    </row>
    <row r="11" spans="1:13" x14ac:dyDescent="0.25">
      <c r="A11" s="3" t="s">
        <v>20</v>
      </c>
      <c r="B11" s="3" t="s">
        <v>19</v>
      </c>
      <c r="C11" s="3">
        <v>56</v>
      </c>
      <c r="D11" s="3"/>
      <c r="E11" s="3"/>
      <c r="F11" s="7">
        <f t="shared" si="0"/>
        <v>0</v>
      </c>
      <c r="G11" s="3"/>
      <c r="H11" s="3"/>
      <c r="I11" s="3"/>
      <c r="J11" s="3"/>
    </row>
    <row r="12" spans="1:13" x14ac:dyDescent="0.25">
      <c r="A12" s="3" t="s">
        <v>20</v>
      </c>
      <c r="B12" s="3" t="s">
        <v>15</v>
      </c>
      <c r="C12" s="3">
        <v>45</v>
      </c>
      <c r="D12" s="3"/>
      <c r="E12" s="3"/>
      <c r="F12" s="7">
        <f t="shared" si="0"/>
        <v>0</v>
      </c>
      <c r="G12" s="3"/>
      <c r="H12" s="3"/>
      <c r="I12" s="3"/>
      <c r="J12" s="3"/>
    </row>
    <row r="13" spans="1:13" x14ac:dyDescent="0.25">
      <c r="A13" s="3" t="s">
        <v>20</v>
      </c>
      <c r="B13" s="3" t="s">
        <v>13</v>
      </c>
      <c r="C13" s="3">
        <v>55</v>
      </c>
      <c r="D13" s="3"/>
      <c r="E13" s="6">
        <v>0.2</v>
      </c>
      <c r="F13" s="7">
        <f t="shared" si="0"/>
        <v>11</v>
      </c>
      <c r="G13" s="3"/>
      <c r="H13" s="3"/>
      <c r="I13" s="3"/>
      <c r="J13" s="3" t="s">
        <v>65</v>
      </c>
    </row>
    <row r="14" spans="1:13" x14ac:dyDescent="0.25">
      <c r="A14" s="3" t="s">
        <v>22</v>
      </c>
      <c r="B14" s="3" t="s">
        <v>13</v>
      </c>
      <c r="C14" s="3">
        <v>8</v>
      </c>
      <c r="D14" s="3"/>
      <c r="E14" s="6">
        <v>0.2</v>
      </c>
      <c r="F14" s="7">
        <f t="shared" si="0"/>
        <v>1.6</v>
      </c>
      <c r="G14" s="3"/>
      <c r="H14" s="3"/>
      <c r="I14" s="3"/>
      <c r="J14" s="3" t="s">
        <v>65</v>
      </c>
    </row>
    <row r="15" spans="1:13" x14ac:dyDescent="0.25">
      <c r="A15" s="3" t="s">
        <v>23</v>
      </c>
      <c r="B15" s="3" t="s">
        <v>24</v>
      </c>
      <c r="C15" s="3">
        <v>8</v>
      </c>
      <c r="D15" s="3"/>
      <c r="E15" s="3"/>
      <c r="F15" s="7">
        <f t="shared" si="0"/>
        <v>0</v>
      </c>
      <c r="G15" s="3"/>
      <c r="H15" s="3"/>
      <c r="I15" s="3"/>
      <c r="J15" s="3"/>
    </row>
    <row r="16" spans="1:13" x14ac:dyDescent="0.25">
      <c r="A16" s="3" t="s">
        <v>23</v>
      </c>
      <c r="B16" s="3" t="s">
        <v>21</v>
      </c>
      <c r="C16" s="3">
        <v>5</v>
      </c>
      <c r="D16" s="3"/>
      <c r="E16" s="3"/>
      <c r="F16" s="7">
        <f t="shared" si="0"/>
        <v>0</v>
      </c>
      <c r="G16" s="3"/>
      <c r="H16" s="3"/>
      <c r="I16" s="3"/>
      <c r="J16" s="3"/>
    </row>
    <row r="17" spans="1:10" x14ac:dyDescent="0.25">
      <c r="A17" s="3" t="s">
        <v>23</v>
      </c>
      <c r="B17" s="3" t="s">
        <v>19</v>
      </c>
      <c r="C17" s="3">
        <v>9</v>
      </c>
      <c r="D17" s="3"/>
      <c r="E17" s="3"/>
      <c r="F17" s="7">
        <f t="shared" si="0"/>
        <v>0</v>
      </c>
      <c r="G17" s="3"/>
      <c r="H17" s="3"/>
      <c r="I17" s="3"/>
      <c r="J17" s="3"/>
    </row>
    <row r="18" spans="1:10" x14ac:dyDescent="0.25">
      <c r="A18" s="3" t="s">
        <v>23</v>
      </c>
      <c r="B18" s="3" t="s">
        <v>25</v>
      </c>
      <c r="C18" s="3">
        <v>5</v>
      </c>
      <c r="D18" s="3"/>
      <c r="E18" s="3"/>
      <c r="F18" s="7">
        <f t="shared" si="0"/>
        <v>0</v>
      </c>
      <c r="G18" s="3"/>
      <c r="H18" s="3"/>
      <c r="I18" s="3"/>
      <c r="J18" s="3"/>
    </row>
    <row r="19" spans="1:10" x14ac:dyDescent="0.25">
      <c r="A19" s="3" t="s">
        <v>23</v>
      </c>
      <c r="B19" s="3" t="s">
        <v>15</v>
      </c>
      <c r="C19" s="3">
        <v>49</v>
      </c>
      <c r="D19" s="3"/>
      <c r="E19" s="3"/>
      <c r="F19" s="7">
        <f t="shared" si="0"/>
        <v>0</v>
      </c>
      <c r="G19" s="3"/>
      <c r="H19" s="3"/>
      <c r="I19" s="3"/>
      <c r="J19" s="3"/>
    </row>
    <row r="20" spans="1:10" x14ac:dyDescent="0.25">
      <c r="A20" s="3" t="s">
        <v>23</v>
      </c>
      <c r="B20" s="3" t="s">
        <v>13</v>
      </c>
      <c r="C20" s="3">
        <v>43</v>
      </c>
      <c r="D20" s="3"/>
      <c r="E20" s="6">
        <v>0.2</v>
      </c>
      <c r="F20" s="7">
        <f t="shared" si="0"/>
        <v>8.6</v>
      </c>
      <c r="G20" s="3"/>
      <c r="H20" s="3"/>
      <c r="I20" s="3"/>
      <c r="J20" s="3" t="s">
        <v>65</v>
      </c>
    </row>
    <row r="21" spans="1:10" x14ac:dyDescent="0.25">
      <c r="A21" s="3" t="s">
        <v>23</v>
      </c>
      <c r="B21" s="3" t="s">
        <v>26</v>
      </c>
      <c r="C21" s="3">
        <v>17</v>
      </c>
      <c r="D21" s="3"/>
      <c r="E21" s="3"/>
      <c r="F21" s="7">
        <f t="shared" si="0"/>
        <v>0</v>
      </c>
      <c r="G21" s="3"/>
      <c r="H21" s="3"/>
      <c r="I21" s="3"/>
      <c r="J21" s="3"/>
    </row>
    <row r="22" spans="1:10" x14ac:dyDescent="0.25">
      <c r="A22" s="3" t="s">
        <v>23</v>
      </c>
      <c r="B22" s="3" t="s">
        <v>27</v>
      </c>
      <c r="C22" s="3">
        <v>41</v>
      </c>
      <c r="D22" s="3"/>
      <c r="E22" s="3"/>
      <c r="F22" s="7">
        <f t="shared" si="0"/>
        <v>0</v>
      </c>
      <c r="G22" s="3"/>
      <c r="H22" s="3"/>
      <c r="I22" s="3"/>
      <c r="J22" s="3"/>
    </row>
    <row r="23" spans="1:10" x14ac:dyDescent="0.25">
      <c r="A23" s="3" t="s">
        <v>28</v>
      </c>
      <c r="B23" s="3" t="s">
        <v>15</v>
      </c>
      <c r="C23" s="3">
        <v>19</v>
      </c>
      <c r="D23" s="3"/>
      <c r="E23" s="3"/>
      <c r="F23" s="7">
        <f t="shared" si="0"/>
        <v>0</v>
      </c>
      <c r="G23" s="3"/>
      <c r="H23" s="3"/>
      <c r="I23" s="3"/>
      <c r="J23" s="3"/>
    </row>
    <row r="24" spans="1:10" x14ac:dyDescent="0.25">
      <c r="A24" s="3" t="s">
        <v>28</v>
      </c>
      <c r="B24" s="3" t="s">
        <v>13</v>
      </c>
      <c r="C24" s="3">
        <v>41</v>
      </c>
      <c r="D24" s="3"/>
      <c r="E24" s="6">
        <v>0.2</v>
      </c>
      <c r="F24" s="7">
        <f t="shared" si="0"/>
        <v>8.2000000000000011</v>
      </c>
      <c r="G24" s="3"/>
      <c r="H24" s="3"/>
      <c r="I24" s="3"/>
      <c r="J24" s="3" t="s">
        <v>65</v>
      </c>
    </row>
    <row r="25" spans="1:10" x14ac:dyDescent="0.25">
      <c r="A25" s="3" t="s">
        <v>28</v>
      </c>
      <c r="B25" s="3" t="s">
        <v>27</v>
      </c>
      <c r="C25" s="3">
        <v>15</v>
      </c>
      <c r="D25" s="3"/>
      <c r="E25" s="3"/>
      <c r="F25" s="7">
        <f t="shared" si="0"/>
        <v>0</v>
      </c>
      <c r="G25" s="3"/>
      <c r="H25" s="3"/>
      <c r="I25" s="3"/>
      <c r="J25" s="3"/>
    </row>
    <row r="26" spans="1:10" x14ac:dyDescent="0.25">
      <c r="A26" s="3" t="s">
        <v>29</v>
      </c>
      <c r="B26" s="3" t="s">
        <v>30</v>
      </c>
      <c r="C26" s="3">
        <v>5</v>
      </c>
      <c r="D26" s="7">
        <f>'Population change 2018 to 2024'!$D$2*'Laborforce adjustment'!C26</f>
        <v>5.1338199513382001</v>
      </c>
      <c r="E26" s="6">
        <v>0.2</v>
      </c>
      <c r="F26" s="7">
        <f>E26*D26</f>
        <v>1.02676399026764</v>
      </c>
      <c r="G26" s="3"/>
      <c r="H26" s="3"/>
      <c r="I26" s="3"/>
      <c r="J26" s="3"/>
    </row>
    <row r="27" spans="1:10" x14ac:dyDescent="0.25">
      <c r="A27" s="3" t="s">
        <v>29</v>
      </c>
      <c r="B27" s="3" t="s">
        <v>24</v>
      </c>
      <c r="C27" s="3">
        <v>113</v>
      </c>
      <c r="D27" s="7">
        <f>'Population change 2018 to 2024'!$D$2*'Laborforce adjustment'!C27</f>
        <v>116.02433090024331</v>
      </c>
      <c r="E27" s="3"/>
      <c r="F27" s="7">
        <f t="shared" ref="F27:F90" si="1">E27*D27</f>
        <v>0</v>
      </c>
      <c r="G27" s="3"/>
      <c r="H27" s="3"/>
      <c r="I27" s="3"/>
      <c r="J27" s="3"/>
    </row>
    <row r="28" spans="1:10" x14ac:dyDescent="0.25">
      <c r="A28" s="3" t="s">
        <v>29</v>
      </c>
      <c r="B28" s="3" t="s">
        <v>21</v>
      </c>
      <c r="C28" s="3">
        <v>7</v>
      </c>
      <c r="D28" s="7">
        <f>'Population change 2018 to 2024'!$D$2*'Laborforce adjustment'!C28</f>
        <v>7.1873479318734796</v>
      </c>
      <c r="E28" s="6">
        <v>0.2</v>
      </c>
      <c r="F28" s="7">
        <f t="shared" si="1"/>
        <v>1.437469586374696</v>
      </c>
      <c r="G28" s="3"/>
      <c r="H28" s="3"/>
      <c r="I28" s="3"/>
      <c r="J28" s="3"/>
    </row>
    <row r="29" spans="1:10" x14ac:dyDescent="0.25">
      <c r="A29" s="3" t="s">
        <v>29</v>
      </c>
      <c r="B29" s="3" t="s">
        <v>19</v>
      </c>
      <c r="C29" s="3">
        <v>25</v>
      </c>
      <c r="D29" s="7">
        <f>'Population change 2018 to 2024'!$D$2*'Laborforce adjustment'!C29</f>
        <v>25.669099756691001</v>
      </c>
      <c r="E29" s="6">
        <v>0.2</v>
      </c>
      <c r="F29" s="7">
        <f t="shared" si="1"/>
        <v>5.1338199513382001</v>
      </c>
      <c r="G29" s="3"/>
      <c r="H29" s="3"/>
      <c r="I29" s="3"/>
      <c r="J29" s="3"/>
    </row>
    <row r="30" spans="1:10" x14ac:dyDescent="0.25">
      <c r="A30" s="3" t="s">
        <v>29</v>
      </c>
      <c r="B30" s="3" t="s">
        <v>15</v>
      </c>
      <c r="C30" s="3">
        <v>88</v>
      </c>
      <c r="D30" s="7">
        <f>'Population change 2018 to 2024'!$D$2*'Laborforce adjustment'!C30</f>
        <v>90.355231143552317</v>
      </c>
      <c r="E30" s="6">
        <v>0.2</v>
      </c>
      <c r="F30" s="7">
        <f t="shared" si="1"/>
        <v>18.071046228710465</v>
      </c>
      <c r="G30" s="3"/>
      <c r="H30" s="3"/>
      <c r="I30" s="3"/>
      <c r="J30" s="3"/>
    </row>
    <row r="31" spans="1:10" x14ac:dyDescent="0.25">
      <c r="A31" s="3" t="s">
        <v>29</v>
      </c>
      <c r="B31" s="3" t="s">
        <v>13</v>
      </c>
      <c r="C31" s="3">
        <v>49</v>
      </c>
      <c r="D31" s="7">
        <f>'Population change 2018 to 2024'!$D$2*'Laborforce adjustment'!C31</f>
        <v>50.311435523114362</v>
      </c>
      <c r="E31" s="6">
        <v>0.2</v>
      </c>
      <c r="F31" s="7">
        <f t="shared" si="1"/>
        <v>10.062287104622873</v>
      </c>
      <c r="G31" s="3"/>
      <c r="H31" s="3"/>
      <c r="I31" s="3"/>
      <c r="J31" s="3" t="s">
        <v>65</v>
      </c>
    </row>
    <row r="32" spans="1:10" x14ac:dyDescent="0.25">
      <c r="A32" s="3" t="s">
        <v>29</v>
      </c>
      <c r="B32" s="3" t="s">
        <v>16</v>
      </c>
      <c r="C32" s="3">
        <v>9</v>
      </c>
      <c r="D32" s="7">
        <f>'Population change 2018 to 2024'!$D$2*'Laborforce adjustment'!C32</f>
        <v>9.2408759124087592</v>
      </c>
      <c r="E32" s="6">
        <v>0.2</v>
      </c>
      <c r="F32" s="7">
        <f t="shared" si="1"/>
        <v>1.8481751824817518</v>
      </c>
      <c r="G32" s="3"/>
      <c r="H32" s="3"/>
      <c r="I32" s="3"/>
      <c r="J32" s="3" t="s">
        <v>65</v>
      </c>
    </row>
    <row r="33" spans="1:10" x14ac:dyDescent="0.25">
      <c r="A33" s="3" t="s">
        <v>29</v>
      </c>
      <c r="B33" s="3" t="s">
        <v>27</v>
      </c>
      <c r="C33" s="3">
        <v>8</v>
      </c>
      <c r="D33" s="7">
        <f>'Population change 2018 to 2024'!$D$2*'Laborforce adjustment'!C33</f>
        <v>8.2141119221411198</v>
      </c>
      <c r="E33" s="6">
        <v>0.2</v>
      </c>
      <c r="F33" s="7">
        <f t="shared" si="1"/>
        <v>1.6428223844282241</v>
      </c>
      <c r="G33" s="3"/>
      <c r="H33" s="3"/>
      <c r="I33" s="3"/>
      <c r="J33" s="3"/>
    </row>
    <row r="34" spans="1:10" x14ac:dyDescent="0.25">
      <c r="A34" s="3" t="s">
        <v>29</v>
      </c>
      <c r="B34" s="3" t="s">
        <v>31</v>
      </c>
      <c r="C34" s="3">
        <v>7</v>
      </c>
      <c r="D34" s="7">
        <f>'Population change 2018 to 2024'!$D$2*'Laborforce adjustment'!C34</f>
        <v>7.1873479318734796</v>
      </c>
      <c r="E34" s="6">
        <v>0.2</v>
      </c>
      <c r="F34" s="7">
        <f t="shared" si="1"/>
        <v>1.437469586374696</v>
      </c>
      <c r="G34" s="3"/>
      <c r="H34" s="3"/>
      <c r="I34" s="3"/>
      <c r="J34" s="3"/>
    </row>
    <row r="35" spans="1:10" x14ac:dyDescent="0.25">
      <c r="A35" s="3" t="s">
        <v>29</v>
      </c>
      <c r="B35" s="3" t="s">
        <v>32</v>
      </c>
      <c r="C35" s="3">
        <v>14</v>
      </c>
      <c r="D35" s="7">
        <f>'Population change 2018 to 2024'!$D$2*'Laborforce adjustment'!C35</f>
        <v>14.374695863746959</v>
      </c>
      <c r="E35" s="6">
        <v>0.2</v>
      </c>
      <c r="F35" s="7">
        <f t="shared" si="1"/>
        <v>2.874939172749392</v>
      </c>
      <c r="G35" s="3"/>
      <c r="H35" s="3"/>
      <c r="I35" s="3"/>
      <c r="J35" s="3"/>
    </row>
    <row r="36" spans="1:10" x14ac:dyDescent="0.25">
      <c r="A36" s="3" t="s">
        <v>29</v>
      </c>
      <c r="B36" s="3" t="s">
        <v>32</v>
      </c>
      <c r="C36" s="3">
        <v>4</v>
      </c>
      <c r="D36" s="7">
        <f>'Population change 2018 to 2024'!$D$2*'Laborforce adjustment'!C36</f>
        <v>4.1070559610705599</v>
      </c>
      <c r="E36" s="6">
        <v>0.2</v>
      </c>
      <c r="F36" s="7">
        <f t="shared" si="1"/>
        <v>0.82141119221411207</v>
      </c>
      <c r="G36" s="3"/>
      <c r="H36" s="3"/>
      <c r="I36" s="3"/>
      <c r="J36" s="3"/>
    </row>
    <row r="37" spans="1:10" x14ac:dyDescent="0.25">
      <c r="A37" s="3" t="s">
        <v>33</v>
      </c>
      <c r="B37" s="3" t="s">
        <v>32</v>
      </c>
      <c r="C37" s="3">
        <v>5</v>
      </c>
      <c r="D37" s="7">
        <f>'Population change 2018 to 2024'!$D$4*C37</f>
        <v>4.5581171950048036</v>
      </c>
      <c r="E37" s="6">
        <v>0.2</v>
      </c>
      <c r="F37" s="7">
        <f t="shared" si="1"/>
        <v>0.91162343900096077</v>
      </c>
      <c r="G37" s="3"/>
      <c r="H37" s="3"/>
      <c r="I37" s="3"/>
      <c r="J37" s="3"/>
    </row>
    <row r="38" spans="1:10" x14ac:dyDescent="0.25">
      <c r="A38" s="3" t="s">
        <v>33</v>
      </c>
      <c r="B38" s="3" t="s">
        <v>21</v>
      </c>
      <c r="C38" s="3">
        <v>349</v>
      </c>
      <c r="D38" s="7">
        <f>'Population change 2018 to 2024'!$D$4*C38</f>
        <v>318.15658021133527</v>
      </c>
      <c r="E38" s="3"/>
      <c r="F38" s="7">
        <f t="shared" si="1"/>
        <v>0</v>
      </c>
      <c r="G38" s="3"/>
      <c r="H38" s="3"/>
      <c r="I38" s="3"/>
      <c r="J38" s="3"/>
    </row>
    <row r="39" spans="1:10" x14ac:dyDescent="0.25">
      <c r="A39" s="3" t="s">
        <v>33</v>
      </c>
      <c r="B39" s="3" t="s">
        <v>19</v>
      </c>
      <c r="C39" s="3">
        <v>45</v>
      </c>
      <c r="D39" s="7">
        <f>'Population change 2018 to 2024'!$D$4*C39</f>
        <v>41.023054755043226</v>
      </c>
      <c r="E39" s="6">
        <v>0.2</v>
      </c>
      <c r="F39" s="7">
        <f t="shared" si="1"/>
        <v>8.2046109510086449</v>
      </c>
      <c r="G39" s="3"/>
      <c r="H39" s="3"/>
      <c r="I39" s="3"/>
      <c r="J39" s="3"/>
    </row>
    <row r="40" spans="1:10" x14ac:dyDescent="0.25">
      <c r="A40" s="3" t="s">
        <v>33</v>
      </c>
      <c r="B40" s="3" t="s">
        <v>15</v>
      </c>
      <c r="C40" s="3">
        <v>124</v>
      </c>
      <c r="D40" s="7">
        <f>'Population change 2018 to 2024'!$D$4*C40</f>
        <v>113.04130643611911</v>
      </c>
      <c r="E40" s="6">
        <v>0.2</v>
      </c>
      <c r="F40" s="7">
        <f t="shared" si="1"/>
        <v>22.608261287223826</v>
      </c>
      <c r="G40" s="3"/>
      <c r="H40" s="3"/>
      <c r="I40" s="3"/>
      <c r="J40" s="3"/>
    </row>
    <row r="41" spans="1:10" x14ac:dyDescent="0.25">
      <c r="A41" s="3" t="s">
        <v>33</v>
      </c>
      <c r="B41" s="3" t="s">
        <v>13</v>
      </c>
      <c r="C41" s="3">
        <v>272</v>
      </c>
      <c r="D41" s="7">
        <f>'Population change 2018 to 2024'!$D$4*C41</f>
        <v>247.9615754082613</v>
      </c>
      <c r="E41" s="6">
        <v>0.2</v>
      </c>
      <c r="F41" s="7">
        <f t="shared" si="1"/>
        <v>49.592315081652259</v>
      </c>
      <c r="G41" s="3"/>
      <c r="H41" s="3"/>
      <c r="I41" s="3"/>
      <c r="J41" s="3" t="s">
        <v>65</v>
      </c>
    </row>
    <row r="42" spans="1:10" x14ac:dyDescent="0.25">
      <c r="A42" s="3" t="s">
        <v>33</v>
      </c>
      <c r="B42" s="3" t="s">
        <v>34</v>
      </c>
      <c r="C42" s="3">
        <v>12</v>
      </c>
      <c r="D42" s="7">
        <f>'Population change 2018 to 2024'!$D$4*C42</f>
        <v>10.939481268011528</v>
      </c>
      <c r="E42" s="6">
        <v>0.2</v>
      </c>
      <c r="F42" s="7">
        <f t="shared" si="1"/>
        <v>2.1878962536023057</v>
      </c>
      <c r="G42" s="3"/>
      <c r="H42" s="3"/>
      <c r="I42" s="3"/>
      <c r="J42" s="3" t="s">
        <v>65</v>
      </c>
    </row>
    <row r="43" spans="1:10" x14ac:dyDescent="0.25">
      <c r="A43" s="3" t="s">
        <v>33</v>
      </c>
      <c r="B43" s="3" t="s">
        <v>16</v>
      </c>
      <c r="C43" s="3">
        <v>22</v>
      </c>
      <c r="D43" s="7">
        <f>'Population change 2018 to 2024'!$D$4*C43</f>
        <v>20.055715658021136</v>
      </c>
      <c r="E43" s="6">
        <v>0.2</v>
      </c>
      <c r="F43" s="7">
        <f t="shared" si="1"/>
        <v>4.0111431316042276</v>
      </c>
      <c r="G43" s="3"/>
      <c r="H43" s="3"/>
      <c r="I43" s="3"/>
      <c r="J43" s="3" t="s">
        <v>65</v>
      </c>
    </row>
    <row r="44" spans="1:10" x14ac:dyDescent="0.25">
      <c r="A44" s="3" t="s">
        <v>33</v>
      </c>
      <c r="B44" s="3" t="s">
        <v>27</v>
      </c>
      <c r="C44" s="3">
        <v>11</v>
      </c>
      <c r="D44" s="7">
        <f>'Population change 2018 to 2024'!$D$4*C44</f>
        <v>10.027857829010568</v>
      </c>
      <c r="E44" s="6">
        <v>0.2</v>
      </c>
      <c r="F44" s="7">
        <f t="shared" si="1"/>
        <v>2.0055715658021138</v>
      </c>
      <c r="G44" s="3"/>
      <c r="H44" s="3"/>
      <c r="I44" s="3"/>
      <c r="J44" s="3"/>
    </row>
    <row r="45" spans="1:10" x14ac:dyDescent="0.25">
      <c r="A45" s="3" t="s">
        <v>33</v>
      </c>
      <c r="B45" s="3" t="s">
        <v>31</v>
      </c>
      <c r="C45" s="3">
        <v>11</v>
      </c>
      <c r="D45" s="7">
        <f>'Population change 2018 to 2024'!$D$4*C45</f>
        <v>10.027857829010568</v>
      </c>
      <c r="E45" s="6">
        <v>0.2</v>
      </c>
      <c r="F45" s="7">
        <f t="shared" si="1"/>
        <v>2.0055715658021138</v>
      </c>
      <c r="G45" s="3"/>
      <c r="H45" s="3"/>
      <c r="I45" s="3"/>
      <c r="J45" s="3"/>
    </row>
    <row r="46" spans="1:10" x14ac:dyDescent="0.25">
      <c r="A46" s="3" t="s">
        <v>33</v>
      </c>
      <c r="B46" s="3" t="s">
        <v>32</v>
      </c>
      <c r="C46" s="3">
        <v>19</v>
      </c>
      <c r="D46" s="7">
        <f>'Population change 2018 to 2024'!$D$4*C46</f>
        <v>17.320845341018252</v>
      </c>
      <c r="E46" s="6">
        <v>0.2</v>
      </c>
      <c r="F46" s="7">
        <f t="shared" si="1"/>
        <v>3.4641690682036508</v>
      </c>
      <c r="G46" s="3"/>
      <c r="H46" s="3"/>
      <c r="I46" s="3"/>
      <c r="J46" s="3"/>
    </row>
    <row r="47" spans="1:10" x14ac:dyDescent="0.25">
      <c r="A47" s="3" t="s">
        <v>35</v>
      </c>
      <c r="B47" s="3" t="s">
        <v>36</v>
      </c>
      <c r="C47" s="3">
        <v>25</v>
      </c>
      <c r="D47" s="7">
        <f>'Population change 2018 to 2024'!$D$6*C47</f>
        <v>23</v>
      </c>
      <c r="E47" s="3"/>
      <c r="F47" s="7">
        <f t="shared" si="1"/>
        <v>0</v>
      </c>
      <c r="G47" s="3"/>
      <c r="H47" s="3"/>
      <c r="I47" s="3"/>
      <c r="J47" s="3"/>
    </row>
    <row r="48" spans="1:10" x14ac:dyDescent="0.25">
      <c r="A48" s="3" t="s">
        <v>35</v>
      </c>
      <c r="B48" s="3" t="s">
        <v>19</v>
      </c>
      <c r="C48" s="3">
        <v>8</v>
      </c>
      <c r="D48" s="7">
        <f>'Population change 2018 to 2024'!$D$6*C48</f>
        <v>7.36</v>
      </c>
      <c r="E48" s="6"/>
      <c r="F48" s="7">
        <f t="shared" si="1"/>
        <v>0</v>
      </c>
      <c r="G48" s="3"/>
      <c r="H48" s="3"/>
      <c r="I48" s="3"/>
      <c r="J48" s="3"/>
    </row>
    <row r="49" spans="1:10" x14ac:dyDescent="0.25">
      <c r="A49" s="3" t="s">
        <v>35</v>
      </c>
      <c r="B49" s="3" t="s">
        <v>15</v>
      </c>
      <c r="C49" s="3">
        <v>31</v>
      </c>
      <c r="D49" s="7">
        <f>'Population change 2018 to 2024'!$D$6*C49</f>
        <v>28.52</v>
      </c>
      <c r="E49" s="3"/>
      <c r="F49" s="7">
        <f t="shared" si="1"/>
        <v>0</v>
      </c>
      <c r="G49" s="3"/>
      <c r="H49" s="3"/>
      <c r="I49" s="3"/>
      <c r="J49" s="3"/>
    </row>
    <row r="50" spans="1:10" x14ac:dyDescent="0.25">
      <c r="A50" s="3" t="s">
        <v>35</v>
      </c>
      <c r="B50" s="3" t="s">
        <v>13</v>
      </c>
      <c r="C50" s="3">
        <v>13</v>
      </c>
      <c r="D50" s="7">
        <f>'Population change 2018 to 2024'!$D$6*C50</f>
        <v>11.96</v>
      </c>
      <c r="E50" s="6">
        <v>0.2</v>
      </c>
      <c r="F50" s="7">
        <f t="shared" si="1"/>
        <v>2.3920000000000003</v>
      </c>
      <c r="G50" s="3"/>
      <c r="H50" s="3"/>
      <c r="I50" s="3"/>
      <c r="J50" s="3" t="s">
        <v>65</v>
      </c>
    </row>
    <row r="51" spans="1:10" x14ac:dyDescent="0.25">
      <c r="A51" s="3" t="s">
        <v>35</v>
      </c>
      <c r="B51" s="3" t="s">
        <v>27</v>
      </c>
      <c r="C51" s="3">
        <v>16</v>
      </c>
      <c r="D51" s="7">
        <f>'Population change 2018 to 2024'!$D$6*C51</f>
        <v>14.72</v>
      </c>
      <c r="E51" s="3"/>
      <c r="F51" s="7">
        <f t="shared" si="1"/>
        <v>0</v>
      </c>
      <c r="G51" s="3"/>
      <c r="H51" s="3"/>
      <c r="I51" s="3"/>
      <c r="J51" s="3"/>
    </row>
    <row r="52" spans="1:10" x14ac:dyDescent="0.25">
      <c r="A52" s="3" t="s">
        <v>35</v>
      </c>
      <c r="B52" s="3" t="s">
        <v>32</v>
      </c>
      <c r="C52" s="3">
        <v>19</v>
      </c>
      <c r="D52" s="7">
        <f>'Population change 2018 to 2024'!$D$6*C52</f>
        <v>17.48</v>
      </c>
      <c r="E52" s="3"/>
      <c r="F52" s="7">
        <f t="shared" si="1"/>
        <v>0</v>
      </c>
      <c r="G52" s="3"/>
      <c r="H52" s="3"/>
      <c r="I52" s="3"/>
      <c r="J52" s="3"/>
    </row>
    <row r="53" spans="1:10" x14ac:dyDescent="0.25">
      <c r="A53" s="3" t="s">
        <v>37</v>
      </c>
      <c r="B53" s="3" t="s">
        <v>24</v>
      </c>
      <c r="C53" s="3">
        <v>5</v>
      </c>
      <c r="D53" s="7">
        <f>'Population change 2018 to 2024'!$D$7*'Laborforce adjustment'!C53</f>
        <v>4.7678018575851393</v>
      </c>
      <c r="E53" s="6">
        <v>0.2</v>
      </c>
      <c r="F53" s="7">
        <f t="shared" si="1"/>
        <v>0.95356037151702788</v>
      </c>
      <c r="G53" s="3"/>
      <c r="H53" s="3"/>
      <c r="I53" s="3"/>
      <c r="J53" s="3"/>
    </row>
    <row r="54" spans="1:10" x14ac:dyDescent="0.25">
      <c r="A54" s="3" t="s">
        <v>37</v>
      </c>
      <c r="B54" s="3" t="s">
        <v>21</v>
      </c>
      <c r="C54" s="3">
        <v>67</v>
      </c>
      <c r="D54" s="7">
        <f>'Population change 2018 to 2024'!$D$7*'Laborforce adjustment'!C54</f>
        <v>63.888544891640869</v>
      </c>
      <c r="E54" s="6">
        <v>0.2</v>
      </c>
      <c r="F54" s="7">
        <f t="shared" si="1"/>
        <v>12.777708978328175</v>
      </c>
      <c r="G54" s="3"/>
      <c r="H54" s="3"/>
      <c r="I54" s="3"/>
      <c r="J54" s="3"/>
    </row>
    <row r="55" spans="1:10" x14ac:dyDescent="0.25">
      <c r="A55" s="3" t="s">
        <v>37</v>
      </c>
      <c r="B55" s="3" t="s">
        <v>19</v>
      </c>
      <c r="C55" s="3">
        <v>915</v>
      </c>
      <c r="D55" s="7">
        <f>'Population change 2018 to 2024'!$D$7*'Laborforce adjustment'!C55</f>
        <v>872.50773993808048</v>
      </c>
      <c r="E55" s="6">
        <v>0.02</v>
      </c>
      <c r="F55" s="7">
        <f t="shared" si="1"/>
        <v>17.450154798761609</v>
      </c>
      <c r="G55" s="3"/>
      <c r="H55" s="3"/>
      <c r="I55" s="3"/>
      <c r="J55" s="3"/>
    </row>
    <row r="56" spans="1:10" x14ac:dyDescent="0.25">
      <c r="A56" s="3" t="s">
        <v>37</v>
      </c>
      <c r="B56" s="3" t="s">
        <v>25</v>
      </c>
      <c r="C56" s="3">
        <v>6</v>
      </c>
      <c r="D56" s="7">
        <f>'Population change 2018 to 2024'!$D$7*'Laborforce adjustment'!C56</f>
        <v>5.7213622291021675</v>
      </c>
      <c r="E56" s="6">
        <v>0.2</v>
      </c>
      <c r="F56" s="7">
        <f t="shared" si="1"/>
        <v>1.1442724458204336</v>
      </c>
      <c r="G56" s="3"/>
      <c r="H56" s="3"/>
      <c r="I56" s="3"/>
      <c r="J56" s="3"/>
    </row>
    <row r="57" spans="1:10" x14ac:dyDescent="0.25">
      <c r="A57" s="3" t="s">
        <v>37</v>
      </c>
      <c r="B57" s="3" t="s">
        <v>15</v>
      </c>
      <c r="C57" s="3">
        <v>138</v>
      </c>
      <c r="D57" s="7">
        <f>'Population change 2018 to 2024'!$D$7*'Laborforce adjustment'!C57</f>
        <v>131.59133126934984</v>
      </c>
      <c r="E57" s="6">
        <v>0.2</v>
      </c>
      <c r="F57" s="7">
        <f t="shared" si="1"/>
        <v>26.318266253869968</v>
      </c>
      <c r="G57" s="3"/>
      <c r="H57" s="3"/>
      <c r="I57" s="3"/>
      <c r="J57" s="3"/>
    </row>
    <row r="58" spans="1:10" x14ac:dyDescent="0.25">
      <c r="A58" s="3" t="s">
        <v>37</v>
      </c>
      <c r="B58" s="3" t="s">
        <v>13</v>
      </c>
      <c r="C58" s="3">
        <v>222</v>
      </c>
      <c r="D58" s="7">
        <f>'Population change 2018 to 2024'!$D$7*'Laborforce adjustment'!C58</f>
        <v>211.69040247678018</v>
      </c>
      <c r="E58" s="6">
        <v>0.2</v>
      </c>
      <c r="F58" s="7">
        <f t="shared" si="1"/>
        <v>42.338080495356039</v>
      </c>
      <c r="G58" s="3"/>
      <c r="H58" s="3"/>
      <c r="I58" s="3"/>
      <c r="J58" s="3" t="s">
        <v>65</v>
      </c>
    </row>
    <row r="59" spans="1:10" x14ac:dyDescent="0.25">
      <c r="A59" s="3" t="s">
        <v>37</v>
      </c>
      <c r="B59" s="3" t="s">
        <v>34</v>
      </c>
      <c r="C59" s="3">
        <v>10</v>
      </c>
      <c r="D59" s="7">
        <f>'Population change 2018 to 2024'!$D$7*'Laborforce adjustment'!C59</f>
        <v>9.5356037151702786</v>
      </c>
      <c r="E59" s="6">
        <v>0.2</v>
      </c>
      <c r="F59" s="7">
        <f t="shared" si="1"/>
        <v>1.9071207430340558</v>
      </c>
      <c r="G59" s="3"/>
      <c r="H59" s="3"/>
      <c r="I59" s="3"/>
      <c r="J59" s="3" t="s">
        <v>65</v>
      </c>
    </row>
    <row r="60" spans="1:10" x14ac:dyDescent="0.25">
      <c r="A60" s="3" t="s">
        <v>37</v>
      </c>
      <c r="B60" s="3" t="s">
        <v>16</v>
      </c>
      <c r="C60" s="3">
        <v>18</v>
      </c>
      <c r="D60" s="7">
        <f>'Population change 2018 to 2024'!$D$7*'Laborforce adjustment'!C60</f>
        <v>17.164086687306501</v>
      </c>
      <c r="E60" s="6">
        <v>0.2</v>
      </c>
      <c r="F60" s="7">
        <f t="shared" si="1"/>
        <v>3.4328173374613002</v>
      </c>
      <c r="G60" s="3"/>
      <c r="H60" s="3"/>
      <c r="I60" s="3"/>
      <c r="J60" s="3" t="s">
        <v>65</v>
      </c>
    </row>
    <row r="61" spans="1:10" x14ac:dyDescent="0.25">
      <c r="A61" s="3" t="s">
        <v>37</v>
      </c>
      <c r="B61" s="3" t="s">
        <v>27</v>
      </c>
      <c r="C61" s="3">
        <v>18</v>
      </c>
      <c r="D61" s="7">
        <f>'Population change 2018 to 2024'!$D$7*'Laborforce adjustment'!C61</f>
        <v>17.164086687306501</v>
      </c>
      <c r="E61" s="6">
        <v>0.2</v>
      </c>
      <c r="F61" s="7">
        <f t="shared" si="1"/>
        <v>3.4328173374613002</v>
      </c>
      <c r="G61" s="3"/>
      <c r="H61" s="3"/>
      <c r="I61" s="3"/>
      <c r="J61" s="3"/>
    </row>
    <row r="62" spans="1:10" x14ac:dyDescent="0.25">
      <c r="A62" s="3" t="s">
        <v>37</v>
      </c>
      <c r="B62" s="3" t="s">
        <v>31</v>
      </c>
      <c r="C62" s="3">
        <v>13</v>
      </c>
      <c r="D62" s="7">
        <f>'Population change 2018 to 2024'!$D$7*'Laborforce adjustment'!C62</f>
        <v>12.396284829721363</v>
      </c>
      <c r="E62" s="6">
        <v>0.2</v>
      </c>
      <c r="F62" s="7">
        <f t="shared" si="1"/>
        <v>2.4792569659442729</v>
      </c>
      <c r="G62" s="3"/>
      <c r="H62" s="3"/>
      <c r="I62" s="3"/>
      <c r="J62" s="3"/>
    </row>
    <row r="63" spans="1:10" x14ac:dyDescent="0.25">
      <c r="A63" s="3" t="s">
        <v>37</v>
      </c>
      <c r="B63" s="3" t="s">
        <v>32</v>
      </c>
      <c r="C63" s="3">
        <v>24</v>
      </c>
      <c r="D63" s="7">
        <f>'Population change 2018 to 2024'!$D$7*'Laborforce adjustment'!C63</f>
        <v>22.88544891640867</v>
      </c>
      <c r="E63" s="6">
        <v>0.2</v>
      </c>
      <c r="F63" s="7">
        <f t="shared" si="1"/>
        <v>4.5770897832817345</v>
      </c>
      <c r="G63" s="3"/>
      <c r="H63" s="3"/>
      <c r="I63" s="3"/>
      <c r="J63" s="3"/>
    </row>
    <row r="64" spans="1:10" x14ac:dyDescent="0.25">
      <c r="A64" s="3" t="s">
        <v>38</v>
      </c>
      <c r="B64" s="3" t="s">
        <v>24</v>
      </c>
      <c r="C64" s="3">
        <v>13</v>
      </c>
      <c r="D64" s="7">
        <f>'Population change 2018 to 2024'!$D$5*C64</f>
        <v>12.533755274261603</v>
      </c>
      <c r="E64" s="6">
        <v>0.2</v>
      </c>
      <c r="F64" s="7">
        <f t="shared" si="1"/>
        <v>2.5067510548523209</v>
      </c>
      <c r="G64" s="3"/>
      <c r="H64" s="3"/>
      <c r="I64" s="3"/>
      <c r="J64" s="3"/>
    </row>
    <row r="65" spans="1:11" x14ac:dyDescent="0.25">
      <c r="A65" s="3" t="s">
        <v>38</v>
      </c>
      <c r="B65" s="3" t="s">
        <v>19</v>
      </c>
      <c r="C65" s="3">
        <v>16</v>
      </c>
      <c r="D65" s="7">
        <f>'Population change 2018 to 2024'!$D$5*C65</f>
        <v>15.426160337552743</v>
      </c>
      <c r="E65" s="6">
        <v>0.2</v>
      </c>
      <c r="F65" s="7">
        <f t="shared" si="1"/>
        <v>3.0852320675105487</v>
      </c>
      <c r="G65" s="3"/>
      <c r="H65" s="3"/>
      <c r="I65" s="3"/>
      <c r="J65" s="3"/>
    </row>
    <row r="66" spans="1:11" x14ac:dyDescent="0.25">
      <c r="A66" s="3" t="s">
        <v>38</v>
      </c>
      <c r="B66" s="3" t="s">
        <v>25</v>
      </c>
      <c r="C66" s="3">
        <v>117</v>
      </c>
      <c r="D66" s="7">
        <f>'Population change 2018 to 2024'!$D$5*C66</f>
        <v>112.80379746835443</v>
      </c>
      <c r="E66" s="6">
        <v>0.02</v>
      </c>
      <c r="F66" s="7">
        <f t="shared" si="1"/>
        <v>2.2560759493670886</v>
      </c>
      <c r="G66" s="3"/>
      <c r="H66" s="3"/>
      <c r="I66" s="3"/>
      <c r="J66" s="3"/>
    </row>
    <row r="67" spans="1:11" x14ac:dyDescent="0.25">
      <c r="A67" s="3" t="s">
        <v>38</v>
      </c>
      <c r="B67" s="3" t="s">
        <v>15</v>
      </c>
      <c r="C67" s="3">
        <v>87</v>
      </c>
      <c r="D67" s="7">
        <f>'Population change 2018 to 2024'!$D$5*C67</f>
        <v>83.879746835443044</v>
      </c>
      <c r="E67" s="6">
        <v>0.2</v>
      </c>
      <c r="F67" s="7">
        <f t="shared" si="1"/>
        <v>16.775949367088611</v>
      </c>
      <c r="G67" s="3"/>
      <c r="H67" s="3"/>
      <c r="I67" s="3"/>
      <c r="J67" s="3"/>
    </row>
    <row r="68" spans="1:11" x14ac:dyDescent="0.25">
      <c r="A68" s="3" t="s">
        <v>38</v>
      </c>
      <c r="B68" s="3" t="s">
        <v>13</v>
      </c>
      <c r="C68" s="3">
        <v>62</v>
      </c>
      <c r="D68" s="7">
        <f>'Population change 2018 to 2024'!$D$5*C68</f>
        <v>59.776371308016877</v>
      </c>
      <c r="E68" s="6">
        <v>0.2</v>
      </c>
      <c r="F68" s="7">
        <f t="shared" si="1"/>
        <v>11.955274261603376</v>
      </c>
      <c r="G68" s="3"/>
      <c r="H68" s="3"/>
      <c r="I68" s="3"/>
      <c r="J68" s="3" t="s">
        <v>65</v>
      </c>
    </row>
    <row r="69" spans="1:11" x14ac:dyDescent="0.25">
      <c r="A69" s="3" t="s">
        <v>38</v>
      </c>
      <c r="B69" s="3" t="s">
        <v>27</v>
      </c>
      <c r="C69" s="3">
        <v>12</v>
      </c>
      <c r="D69" s="7">
        <f>'Population change 2018 to 2024'!$D$5*C69</f>
        <v>11.569620253164556</v>
      </c>
      <c r="E69" s="6">
        <v>0.2</v>
      </c>
      <c r="F69" s="7">
        <f t="shared" si="1"/>
        <v>2.3139240506329113</v>
      </c>
      <c r="G69" s="3"/>
      <c r="H69" s="3"/>
      <c r="I69" s="3"/>
      <c r="J69" s="3"/>
    </row>
    <row r="70" spans="1:11" x14ac:dyDescent="0.25">
      <c r="A70" s="3" t="s">
        <v>38</v>
      </c>
      <c r="B70" s="3" t="s">
        <v>32</v>
      </c>
      <c r="C70" s="3">
        <v>35</v>
      </c>
      <c r="D70" s="7">
        <f>'Population change 2018 to 2024'!$D$5*C70</f>
        <v>33.744725738396625</v>
      </c>
      <c r="E70" s="6">
        <v>0.2</v>
      </c>
      <c r="F70" s="7">
        <f t="shared" si="1"/>
        <v>6.7489451476793256</v>
      </c>
      <c r="G70" s="3"/>
      <c r="H70" s="3"/>
      <c r="I70" s="3"/>
      <c r="J70" s="3"/>
    </row>
    <row r="71" spans="1:11" x14ac:dyDescent="0.25">
      <c r="A71" s="3" t="s">
        <v>39</v>
      </c>
      <c r="B71" s="3" t="s">
        <v>40</v>
      </c>
      <c r="C71" s="3">
        <v>16</v>
      </c>
      <c r="D71" s="7">
        <f>'Population change 2018 to 2024'!$D$9*'Laborforce adjustment'!C71</f>
        <v>15.966735966735968</v>
      </c>
      <c r="E71" s="6">
        <v>0.2</v>
      </c>
      <c r="F71" s="7">
        <f t="shared" si="1"/>
        <v>3.1933471933471935</v>
      </c>
      <c r="G71" s="3"/>
      <c r="H71" s="3"/>
      <c r="I71" s="3"/>
      <c r="J71" s="3"/>
      <c r="K71" s="1"/>
    </row>
    <row r="72" spans="1:11" x14ac:dyDescent="0.25">
      <c r="A72" s="3" t="s">
        <v>39</v>
      </c>
      <c r="B72" s="3" t="s">
        <v>41</v>
      </c>
      <c r="C72" s="3">
        <v>9</v>
      </c>
      <c r="D72" s="7">
        <f>'Population change 2018 to 2024'!$D$9*'Laborforce adjustment'!C72</f>
        <v>8.9812889812889818</v>
      </c>
      <c r="E72" s="6">
        <v>0.2</v>
      </c>
      <c r="F72" s="7">
        <f t="shared" si="1"/>
        <v>1.7962577962577964</v>
      </c>
      <c r="G72" s="3"/>
      <c r="H72" s="3"/>
      <c r="I72" s="3"/>
      <c r="J72" s="3"/>
    </row>
    <row r="73" spans="1:11" x14ac:dyDescent="0.25">
      <c r="A73" s="3" t="s">
        <v>39</v>
      </c>
      <c r="B73" s="3" t="s">
        <v>24</v>
      </c>
      <c r="C73" s="3">
        <v>43</v>
      </c>
      <c r="D73" s="7">
        <f>'Population change 2018 to 2024'!$D$9*'Laborforce adjustment'!C73</f>
        <v>42.910602910602911</v>
      </c>
      <c r="E73" s="6">
        <v>0.2</v>
      </c>
      <c r="F73" s="7">
        <f t="shared" si="1"/>
        <v>8.5821205821205826</v>
      </c>
      <c r="G73" s="3"/>
      <c r="H73" s="3"/>
      <c r="I73" s="3"/>
      <c r="J73" s="3"/>
    </row>
    <row r="74" spans="1:11" x14ac:dyDescent="0.25">
      <c r="A74" s="3" t="s">
        <v>39</v>
      </c>
      <c r="B74" s="3" t="s">
        <v>21</v>
      </c>
      <c r="C74" s="3">
        <v>57</v>
      </c>
      <c r="D74" s="7">
        <f>'Population change 2018 to 2024'!$D$9*'Laborforce adjustment'!C74</f>
        <v>56.881496881496886</v>
      </c>
      <c r="E74" s="6">
        <v>0.2</v>
      </c>
      <c r="F74" s="7">
        <f t="shared" si="1"/>
        <v>11.376299376299379</v>
      </c>
      <c r="G74" s="3"/>
      <c r="H74" s="3"/>
      <c r="I74" s="3"/>
      <c r="J74" s="3"/>
    </row>
    <row r="75" spans="1:11" x14ac:dyDescent="0.25">
      <c r="A75" s="3" t="s">
        <v>39</v>
      </c>
      <c r="B75" s="3" t="s">
        <v>19</v>
      </c>
      <c r="C75" s="3">
        <v>121</v>
      </c>
      <c r="D75" s="7">
        <f>'Population change 2018 to 2024'!$D$9*'Laborforce adjustment'!C75</f>
        <v>120.74844074844076</v>
      </c>
      <c r="E75" s="6">
        <v>0.2</v>
      </c>
      <c r="F75" s="7">
        <f t="shared" si="1"/>
        <v>24.149688149688153</v>
      </c>
      <c r="G75" s="3"/>
      <c r="H75" s="3"/>
      <c r="I75" s="3"/>
      <c r="J75" s="3"/>
    </row>
    <row r="76" spans="1:11" x14ac:dyDescent="0.25">
      <c r="A76" s="3" t="s">
        <v>39</v>
      </c>
      <c r="B76" s="3" t="s">
        <v>25</v>
      </c>
      <c r="C76" s="3">
        <v>13</v>
      </c>
      <c r="D76" s="7">
        <f>'Population change 2018 to 2024'!$D$9*'Laborforce adjustment'!C76</f>
        <v>12.972972972972974</v>
      </c>
      <c r="E76" s="6">
        <v>0.2</v>
      </c>
      <c r="F76" s="7">
        <f t="shared" si="1"/>
        <v>2.5945945945945947</v>
      </c>
      <c r="G76" s="3"/>
      <c r="H76" s="3"/>
      <c r="I76" s="3"/>
      <c r="J76" s="3"/>
    </row>
    <row r="77" spans="1:11" x14ac:dyDescent="0.25">
      <c r="A77" s="3" t="s">
        <v>39</v>
      </c>
      <c r="B77" s="3" t="s">
        <v>15</v>
      </c>
      <c r="C77" s="3">
        <v>1081</v>
      </c>
      <c r="D77" s="7">
        <f>'Population change 2018 to 2024'!$D$9*'Laborforce adjustment'!C77</f>
        <v>1078.7525987525987</v>
      </c>
      <c r="E77" s="6">
        <v>0.02</v>
      </c>
      <c r="F77" s="7">
        <f t="shared" si="1"/>
        <v>21.575051975051974</v>
      </c>
      <c r="G77" s="3"/>
      <c r="H77" s="3"/>
      <c r="I77" s="3"/>
      <c r="J77" s="3"/>
    </row>
    <row r="78" spans="1:11" x14ac:dyDescent="0.25">
      <c r="A78" s="3" t="s">
        <v>39</v>
      </c>
      <c r="B78" s="3" t="s">
        <v>13</v>
      </c>
      <c r="C78" s="3">
        <v>350</v>
      </c>
      <c r="D78" s="7">
        <f>'Population change 2018 to 2024'!$D$9*'Laborforce adjustment'!C78</f>
        <v>349.27234927234929</v>
      </c>
      <c r="E78" s="6">
        <v>0.2</v>
      </c>
      <c r="F78" s="7">
        <f t="shared" si="1"/>
        <v>69.854469854469855</v>
      </c>
      <c r="G78" s="3"/>
      <c r="H78" s="3"/>
      <c r="I78" s="3"/>
      <c r="J78" s="3" t="s">
        <v>65</v>
      </c>
    </row>
    <row r="79" spans="1:11" x14ac:dyDescent="0.25">
      <c r="A79" s="3" t="s">
        <v>39</v>
      </c>
      <c r="B79" s="3" t="s">
        <v>26</v>
      </c>
      <c r="C79" s="3">
        <v>9</v>
      </c>
      <c r="D79" s="7">
        <f>'Population change 2018 to 2024'!$D$9*'Laborforce adjustment'!C79</f>
        <v>8.9812889812889818</v>
      </c>
      <c r="E79" s="6">
        <v>0.2</v>
      </c>
      <c r="F79" s="7">
        <f t="shared" si="1"/>
        <v>1.7962577962577964</v>
      </c>
      <c r="G79" s="3"/>
      <c r="H79" s="3"/>
      <c r="I79" s="3"/>
      <c r="J79" s="3"/>
    </row>
    <row r="80" spans="1:11" x14ac:dyDescent="0.25">
      <c r="A80" s="3" t="s">
        <v>39</v>
      </c>
      <c r="B80" s="3" t="s">
        <v>34</v>
      </c>
      <c r="C80" s="3">
        <v>13</v>
      </c>
      <c r="D80" s="7">
        <f>'Population change 2018 to 2024'!$D$9*'Laborforce adjustment'!C80</f>
        <v>12.972972972972974</v>
      </c>
      <c r="E80" s="6">
        <v>0.2</v>
      </c>
      <c r="F80" s="7">
        <f t="shared" si="1"/>
        <v>2.5945945945945947</v>
      </c>
      <c r="G80" s="3"/>
      <c r="H80" s="3"/>
      <c r="I80" s="3"/>
      <c r="J80" s="3" t="s">
        <v>65</v>
      </c>
    </row>
    <row r="81" spans="1:10" x14ac:dyDescent="0.25">
      <c r="A81" s="3" t="s">
        <v>39</v>
      </c>
      <c r="B81" s="3" t="s">
        <v>16</v>
      </c>
      <c r="C81" s="3">
        <v>24</v>
      </c>
      <c r="D81" s="7">
        <f>'Population change 2018 to 2024'!$D$9*'Laborforce adjustment'!C81</f>
        <v>23.950103950103951</v>
      </c>
      <c r="E81" s="6">
        <v>0.2</v>
      </c>
      <c r="F81" s="7">
        <f t="shared" si="1"/>
        <v>4.7900207900207903</v>
      </c>
      <c r="G81" s="3"/>
      <c r="H81" s="3"/>
      <c r="I81" s="3"/>
      <c r="J81" s="3" t="s">
        <v>65</v>
      </c>
    </row>
    <row r="82" spans="1:10" x14ac:dyDescent="0.25">
      <c r="A82" s="3" t="s">
        <v>39</v>
      </c>
      <c r="B82" s="3" t="s">
        <v>27</v>
      </c>
      <c r="C82" s="3">
        <v>33</v>
      </c>
      <c r="D82" s="7">
        <f>'Population change 2018 to 2024'!$D$9*'Laborforce adjustment'!C82</f>
        <v>32.931392931392935</v>
      </c>
      <c r="E82" s="6">
        <v>0.2</v>
      </c>
      <c r="F82" s="7">
        <f t="shared" si="1"/>
        <v>6.5862785862785875</v>
      </c>
      <c r="G82" s="3"/>
      <c r="H82" s="3"/>
      <c r="I82" s="3"/>
      <c r="J82" s="3"/>
    </row>
    <row r="83" spans="1:10" x14ac:dyDescent="0.25">
      <c r="A83" s="3" t="s">
        <v>39</v>
      </c>
      <c r="B83" s="3" t="s">
        <v>42</v>
      </c>
      <c r="C83" s="3">
        <v>5</v>
      </c>
      <c r="D83" s="7">
        <f>'Population change 2018 to 2024'!$D$9*'Laborforce adjustment'!C83</f>
        <v>4.9896049896049899</v>
      </c>
      <c r="E83" s="6">
        <v>0.2</v>
      </c>
      <c r="F83" s="7">
        <f t="shared" si="1"/>
        <v>0.99792099792099798</v>
      </c>
      <c r="G83" s="3"/>
      <c r="H83" s="3"/>
      <c r="I83" s="3"/>
      <c r="J83" s="3"/>
    </row>
    <row r="84" spans="1:10" x14ac:dyDescent="0.25">
      <c r="A84" s="3" t="s">
        <v>39</v>
      </c>
      <c r="B84" s="3" t="s">
        <v>31</v>
      </c>
      <c r="C84" s="3">
        <v>20</v>
      </c>
      <c r="D84" s="7">
        <f>'Population change 2018 to 2024'!$D$9*'Laborforce adjustment'!C84</f>
        <v>19.95841995841996</v>
      </c>
      <c r="E84" s="6">
        <v>0.2</v>
      </c>
      <c r="F84" s="7">
        <f t="shared" si="1"/>
        <v>3.9916839916839919</v>
      </c>
      <c r="G84" s="3"/>
      <c r="H84" s="3"/>
      <c r="I84" s="3"/>
      <c r="J84" s="3"/>
    </row>
    <row r="85" spans="1:10" x14ac:dyDescent="0.25">
      <c r="A85" s="3" t="s">
        <v>39</v>
      </c>
      <c r="B85" s="3" t="s">
        <v>43</v>
      </c>
      <c r="C85" s="3">
        <v>6</v>
      </c>
      <c r="D85" s="7">
        <f>'Population change 2018 to 2024'!$D$9*'Laborforce adjustment'!C85</f>
        <v>5.9875259875259879</v>
      </c>
      <c r="E85" s="6">
        <v>0.2</v>
      </c>
      <c r="F85" s="7">
        <f t="shared" si="1"/>
        <v>1.1975051975051976</v>
      </c>
      <c r="G85" s="3"/>
      <c r="H85" s="3"/>
      <c r="I85" s="3"/>
      <c r="J85" s="3"/>
    </row>
    <row r="86" spans="1:10" x14ac:dyDescent="0.25">
      <c r="A86" s="3" t="s">
        <v>39</v>
      </c>
      <c r="B86" s="3" t="s">
        <v>32</v>
      </c>
      <c r="C86" s="3">
        <v>22</v>
      </c>
      <c r="D86" s="7">
        <f>'Population change 2018 to 2024'!$D$9*'Laborforce adjustment'!C86</f>
        <v>21.954261954261955</v>
      </c>
      <c r="E86" s="6">
        <v>0.2</v>
      </c>
      <c r="F86" s="7">
        <f t="shared" si="1"/>
        <v>4.3908523908523911</v>
      </c>
      <c r="G86" s="3"/>
      <c r="H86" s="3"/>
      <c r="I86" s="3"/>
      <c r="J86" s="3"/>
    </row>
    <row r="87" spans="1:10" x14ac:dyDescent="0.25">
      <c r="A87" s="3" t="s">
        <v>39</v>
      </c>
      <c r="B87" s="3" t="s">
        <v>32</v>
      </c>
      <c r="C87" s="3">
        <v>1</v>
      </c>
      <c r="D87" s="7">
        <f>'Population change 2018 to 2024'!$D$9*'Laborforce adjustment'!C87</f>
        <v>0.99792099792099798</v>
      </c>
      <c r="E87" s="6">
        <v>0.2</v>
      </c>
      <c r="F87" s="7">
        <f t="shared" si="1"/>
        <v>0.1995841995841996</v>
      </c>
      <c r="G87" s="3"/>
      <c r="H87" s="3"/>
      <c r="I87" s="3"/>
      <c r="J87" s="3"/>
    </row>
    <row r="88" spans="1:10" x14ac:dyDescent="0.25">
      <c r="A88" s="3" t="s">
        <v>44</v>
      </c>
      <c r="B88" s="3" t="s">
        <v>40</v>
      </c>
      <c r="C88" s="3">
        <v>6</v>
      </c>
      <c r="D88" s="7">
        <f>'Population change 2018 to 2024'!$D$12*C88</f>
        <v>6.4598930481283423</v>
      </c>
      <c r="E88" s="6">
        <v>0.3</v>
      </c>
      <c r="F88" s="7">
        <f t="shared" si="1"/>
        <v>1.9379679144385027</v>
      </c>
      <c r="G88" s="3"/>
      <c r="H88" s="3" t="s">
        <v>65</v>
      </c>
      <c r="I88" s="8">
        <f>(F88+F89+F90+F91+F92+F93+F97+F99+F100+F101)/2</f>
        <v>60.884491978609624</v>
      </c>
      <c r="J88" s="3"/>
    </row>
    <row r="89" spans="1:10" x14ac:dyDescent="0.25">
      <c r="A89" s="3" t="s">
        <v>44</v>
      </c>
      <c r="B89" s="3" t="s">
        <v>24</v>
      </c>
      <c r="C89" s="3">
        <v>14</v>
      </c>
      <c r="D89" s="7">
        <f>'Population change 2018 to 2024'!$D$12*C89</f>
        <v>15.073083778966133</v>
      </c>
      <c r="E89" s="6">
        <v>0.3</v>
      </c>
      <c r="F89" s="7">
        <f t="shared" si="1"/>
        <v>4.5219251336898401</v>
      </c>
      <c r="G89" s="3"/>
      <c r="H89" s="3" t="s">
        <v>65</v>
      </c>
      <c r="I89" s="9"/>
      <c r="J89" s="3"/>
    </row>
    <row r="90" spans="1:10" x14ac:dyDescent="0.25">
      <c r="A90" s="3" t="s">
        <v>44</v>
      </c>
      <c r="B90" s="3" t="s">
        <v>21</v>
      </c>
      <c r="C90" s="3">
        <v>51</v>
      </c>
      <c r="D90" s="7">
        <f>'Population change 2018 to 2024'!$D$12*C90</f>
        <v>54.909090909090907</v>
      </c>
      <c r="E90" s="6">
        <v>0.3</v>
      </c>
      <c r="F90" s="7">
        <f t="shared" si="1"/>
        <v>16.472727272727273</v>
      </c>
      <c r="G90" s="3"/>
      <c r="H90" s="3" t="s">
        <v>65</v>
      </c>
      <c r="I90" s="9"/>
      <c r="J90" s="3"/>
    </row>
    <row r="91" spans="1:10" x14ac:dyDescent="0.25">
      <c r="A91" s="3" t="s">
        <v>44</v>
      </c>
      <c r="B91" s="3" t="s">
        <v>19</v>
      </c>
      <c r="C91" s="3">
        <v>73</v>
      </c>
      <c r="D91" s="7">
        <f>'Population change 2018 to 2024'!$D$12*C91</f>
        <v>78.595365418894829</v>
      </c>
      <c r="E91" s="6">
        <v>0.3</v>
      </c>
      <c r="F91" s="7">
        <f t="shared" ref="F91:F153" si="2">E91*D91</f>
        <v>23.578609625668449</v>
      </c>
      <c r="G91" s="3"/>
      <c r="H91" s="3" t="s">
        <v>65</v>
      </c>
      <c r="I91" s="9"/>
      <c r="J91" s="3"/>
    </row>
    <row r="92" spans="1:10" x14ac:dyDescent="0.25">
      <c r="A92" s="3" t="s">
        <v>44</v>
      </c>
      <c r="B92" s="3" t="s">
        <v>25</v>
      </c>
      <c r="C92" s="3">
        <v>10</v>
      </c>
      <c r="D92" s="7">
        <f>'Population change 2018 to 2024'!$D$12*C92</f>
        <v>10.766488413547236</v>
      </c>
      <c r="E92" s="6">
        <v>0.3</v>
      </c>
      <c r="F92" s="7">
        <f t="shared" si="2"/>
        <v>3.2299465240641707</v>
      </c>
      <c r="G92" s="3"/>
      <c r="H92" s="3" t="s">
        <v>65</v>
      </c>
      <c r="I92" s="9"/>
      <c r="J92" s="3"/>
    </row>
    <row r="93" spans="1:10" x14ac:dyDescent="0.25">
      <c r="A93" s="3" t="s">
        <v>44</v>
      </c>
      <c r="B93" s="3" t="s">
        <v>15</v>
      </c>
      <c r="C93" s="3">
        <v>136</v>
      </c>
      <c r="D93" s="7">
        <f>'Population change 2018 to 2024'!$D$12*C93</f>
        <v>146.42424242424244</v>
      </c>
      <c r="E93" s="6">
        <v>0.3</v>
      </c>
      <c r="F93" s="7">
        <f t="shared" si="2"/>
        <v>43.927272727272729</v>
      </c>
      <c r="G93" s="3"/>
      <c r="H93" s="3" t="s">
        <v>65</v>
      </c>
      <c r="I93" s="9"/>
      <c r="J93" s="3"/>
    </row>
    <row r="94" spans="1:10" x14ac:dyDescent="0.25">
      <c r="A94" s="3" t="s">
        <v>44</v>
      </c>
      <c r="B94" s="3" t="s">
        <v>13</v>
      </c>
      <c r="C94" s="3">
        <v>3562</v>
      </c>
      <c r="D94" s="7">
        <f>'Population change 2018 to 2024'!$D$12*C94</f>
        <v>3835.0231729055258</v>
      </c>
      <c r="E94" s="6">
        <v>0.05</v>
      </c>
      <c r="F94" s="7">
        <f t="shared" si="2"/>
        <v>191.75115864527629</v>
      </c>
      <c r="G94" s="3"/>
      <c r="H94" s="3"/>
      <c r="I94" s="9"/>
      <c r="J94" s="3"/>
    </row>
    <row r="95" spans="1:10" x14ac:dyDescent="0.25">
      <c r="A95" s="3" t="s">
        <v>44</v>
      </c>
      <c r="B95" s="3" t="s">
        <v>34</v>
      </c>
      <c r="C95" s="3">
        <v>40</v>
      </c>
      <c r="D95" s="7">
        <f>'Population change 2018 to 2024'!$D$12*C95</f>
        <v>43.065953654188945</v>
      </c>
      <c r="E95" s="6">
        <v>0.3</v>
      </c>
      <c r="F95" s="7">
        <f t="shared" si="2"/>
        <v>12.919786096256683</v>
      </c>
      <c r="G95" s="3" t="s">
        <v>65</v>
      </c>
      <c r="H95" s="3"/>
      <c r="I95" s="9"/>
      <c r="J95" s="3"/>
    </row>
    <row r="96" spans="1:10" x14ac:dyDescent="0.25">
      <c r="A96" s="3" t="s">
        <v>44</v>
      </c>
      <c r="B96" s="3" t="s">
        <v>16</v>
      </c>
      <c r="C96" s="3">
        <v>107</v>
      </c>
      <c r="D96" s="7">
        <f>'Population change 2018 to 2024'!$D$12*C96</f>
        <v>115.20142602495544</v>
      </c>
      <c r="E96" s="6">
        <v>0.3</v>
      </c>
      <c r="F96" s="7">
        <f t="shared" si="2"/>
        <v>34.560427807486633</v>
      </c>
      <c r="G96" s="3" t="s">
        <v>65</v>
      </c>
      <c r="H96" s="3"/>
      <c r="I96" s="9"/>
      <c r="J96" s="3"/>
    </row>
    <row r="97" spans="1:10" x14ac:dyDescent="0.25">
      <c r="A97" s="3" t="s">
        <v>44</v>
      </c>
      <c r="B97" s="3" t="s">
        <v>27</v>
      </c>
      <c r="C97" s="3">
        <v>10</v>
      </c>
      <c r="D97" s="7">
        <f>'Population change 2018 to 2024'!$D$12*C97</f>
        <v>10.766488413547236</v>
      </c>
      <c r="E97" s="6">
        <v>0.3</v>
      </c>
      <c r="F97" s="7">
        <f t="shared" si="2"/>
        <v>3.2299465240641707</v>
      </c>
      <c r="G97" s="3"/>
      <c r="H97" s="3" t="s">
        <v>65</v>
      </c>
      <c r="I97" s="9"/>
      <c r="J97" s="3"/>
    </row>
    <row r="98" spans="1:10" x14ac:dyDescent="0.25">
      <c r="A98" s="3" t="s">
        <v>44</v>
      </c>
      <c r="B98" s="3" t="s">
        <v>17</v>
      </c>
      <c r="C98" s="3">
        <v>9</v>
      </c>
      <c r="D98" s="7">
        <f>'Population change 2018 to 2024'!$D$12*C98</f>
        <v>9.689839572192513</v>
      </c>
      <c r="E98" s="6">
        <v>0.3</v>
      </c>
      <c r="F98" s="7">
        <f t="shared" si="2"/>
        <v>2.9069518716577538</v>
      </c>
      <c r="G98" s="3" t="s">
        <v>65</v>
      </c>
      <c r="H98" s="3"/>
      <c r="I98" s="9"/>
      <c r="J98" s="3"/>
    </row>
    <row r="99" spans="1:10" x14ac:dyDescent="0.25">
      <c r="A99" s="3" t="s">
        <v>44</v>
      </c>
      <c r="B99" s="3" t="s">
        <v>31</v>
      </c>
      <c r="C99" s="3">
        <v>45</v>
      </c>
      <c r="D99" s="7">
        <f>'Population change 2018 to 2024'!$D$12*C99</f>
        <v>48.44919786096257</v>
      </c>
      <c r="E99" s="6">
        <v>0.3</v>
      </c>
      <c r="F99" s="7">
        <f t="shared" si="2"/>
        <v>14.53475935828877</v>
      </c>
      <c r="G99" s="3"/>
      <c r="H99" s="3" t="s">
        <v>65</v>
      </c>
      <c r="I99" s="9"/>
      <c r="J99" s="3"/>
    </row>
    <row r="100" spans="1:10" x14ac:dyDescent="0.25">
      <c r="A100" s="3" t="s">
        <v>44</v>
      </c>
      <c r="B100" s="3" t="s">
        <v>32</v>
      </c>
      <c r="C100" s="3">
        <v>30</v>
      </c>
      <c r="D100" s="7">
        <f>'Population change 2018 to 2024'!$D$12*C100</f>
        <v>32.299465240641709</v>
      </c>
      <c r="E100" s="6">
        <v>0.3</v>
      </c>
      <c r="F100" s="7">
        <f t="shared" si="2"/>
        <v>9.689839572192513</v>
      </c>
      <c r="G100" s="3"/>
      <c r="H100" s="3" t="s">
        <v>65</v>
      </c>
      <c r="I100" s="9"/>
      <c r="J100" s="3"/>
    </row>
    <row r="101" spans="1:10" x14ac:dyDescent="0.25">
      <c r="A101" s="3" t="s">
        <v>44</v>
      </c>
      <c r="B101" s="3" t="s">
        <v>32</v>
      </c>
      <c r="C101" s="3">
        <v>2</v>
      </c>
      <c r="D101" s="7">
        <f>'Population change 2018 to 2024'!$D$12*C101</f>
        <v>2.1532976827094474</v>
      </c>
      <c r="E101" s="6">
        <v>0.3</v>
      </c>
      <c r="F101" s="7">
        <f t="shared" si="2"/>
        <v>0.64598930481283423</v>
      </c>
      <c r="G101" s="3"/>
      <c r="H101" s="3" t="s">
        <v>65</v>
      </c>
      <c r="I101" s="9"/>
      <c r="J101" s="3"/>
    </row>
    <row r="102" spans="1:10" x14ac:dyDescent="0.25">
      <c r="A102" s="3" t="s">
        <v>45</v>
      </c>
      <c r="B102" s="3" t="s">
        <v>40</v>
      </c>
      <c r="C102" s="3">
        <v>18</v>
      </c>
      <c r="D102" s="7">
        <f>'Population change 2018 to 2024'!$D$8*'Laborforce adjustment'!C102</f>
        <v>19.298076923076923</v>
      </c>
      <c r="E102" s="6">
        <v>0.2</v>
      </c>
      <c r="F102" s="7">
        <f t="shared" si="2"/>
        <v>3.8596153846153847</v>
      </c>
      <c r="G102" s="3"/>
      <c r="H102" s="3"/>
      <c r="I102" s="3"/>
      <c r="J102" s="3"/>
    </row>
    <row r="103" spans="1:10" x14ac:dyDescent="0.25">
      <c r="A103" s="3" t="s">
        <v>45</v>
      </c>
      <c r="B103" s="3" t="s">
        <v>41</v>
      </c>
      <c r="C103" s="3">
        <v>6</v>
      </c>
      <c r="D103" s="7">
        <f>'Population change 2018 to 2024'!$D$8*'Laborforce adjustment'!C103</f>
        <v>6.4326923076923075</v>
      </c>
      <c r="E103" s="6">
        <v>0.2</v>
      </c>
      <c r="F103" s="7">
        <f t="shared" si="2"/>
        <v>1.2865384615384616</v>
      </c>
      <c r="G103" s="3"/>
      <c r="H103" s="3"/>
      <c r="I103" s="3"/>
      <c r="J103" s="3"/>
    </row>
    <row r="104" spans="1:10" x14ac:dyDescent="0.25">
      <c r="A104" s="3" t="s">
        <v>45</v>
      </c>
      <c r="B104" s="3" t="s">
        <v>24</v>
      </c>
      <c r="C104" s="3">
        <v>6</v>
      </c>
      <c r="D104" s="7">
        <f>'Population change 2018 to 2024'!$D$8*'Laborforce adjustment'!C104</f>
        <v>6.4326923076923075</v>
      </c>
      <c r="E104" s="6">
        <v>0.2</v>
      </c>
      <c r="F104" s="7">
        <f t="shared" si="2"/>
        <v>1.2865384615384616</v>
      </c>
      <c r="G104" s="3"/>
      <c r="H104" s="3"/>
      <c r="I104" s="3"/>
      <c r="J104" s="3"/>
    </row>
    <row r="105" spans="1:10" x14ac:dyDescent="0.25">
      <c r="A105" s="3" t="s">
        <v>45</v>
      </c>
      <c r="B105" s="3" t="s">
        <v>21</v>
      </c>
      <c r="C105" s="3">
        <v>9</v>
      </c>
      <c r="D105" s="7">
        <f>'Population change 2018 to 2024'!$D$8*'Laborforce adjustment'!C105</f>
        <v>9.6490384615384617</v>
      </c>
      <c r="E105" s="6">
        <v>0.2</v>
      </c>
      <c r="F105" s="7">
        <f t="shared" si="2"/>
        <v>1.9298076923076923</v>
      </c>
      <c r="G105" s="3"/>
      <c r="H105" s="3"/>
      <c r="I105" s="3"/>
      <c r="J105" s="3"/>
    </row>
    <row r="106" spans="1:10" x14ac:dyDescent="0.25">
      <c r="A106" s="3" t="s">
        <v>45</v>
      </c>
      <c r="B106" s="3" t="s">
        <v>19</v>
      </c>
      <c r="C106" s="3">
        <v>15</v>
      </c>
      <c r="D106" s="7">
        <f>'Population change 2018 to 2024'!$D$8*'Laborforce adjustment'!C106</f>
        <v>16.08173076923077</v>
      </c>
      <c r="E106" s="6">
        <v>0.2</v>
      </c>
      <c r="F106" s="7">
        <f t="shared" si="2"/>
        <v>3.2163461538461542</v>
      </c>
      <c r="G106" s="3"/>
      <c r="H106" s="3"/>
      <c r="I106" s="3"/>
      <c r="J106" s="3"/>
    </row>
    <row r="107" spans="1:10" x14ac:dyDescent="0.25">
      <c r="A107" s="3" t="s">
        <v>45</v>
      </c>
      <c r="B107" s="3" t="s">
        <v>25</v>
      </c>
      <c r="C107" s="3">
        <v>6</v>
      </c>
      <c r="D107" s="7">
        <f>'Population change 2018 to 2024'!$D$8*'Laborforce adjustment'!C107</f>
        <v>6.4326923076923075</v>
      </c>
      <c r="E107" s="6">
        <v>0.2</v>
      </c>
      <c r="F107" s="7">
        <f t="shared" si="2"/>
        <v>1.2865384615384616</v>
      </c>
      <c r="G107" s="3"/>
      <c r="H107" s="3"/>
      <c r="I107" s="3"/>
      <c r="J107" s="3"/>
    </row>
    <row r="108" spans="1:10" x14ac:dyDescent="0.25">
      <c r="A108" s="3" t="s">
        <v>45</v>
      </c>
      <c r="B108" s="3" t="s">
        <v>15</v>
      </c>
      <c r="C108" s="3">
        <v>76</v>
      </c>
      <c r="D108" s="7">
        <f>'Population change 2018 to 2024'!$D$8*'Laborforce adjustment'!C108</f>
        <v>81.480769230769226</v>
      </c>
      <c r="E108" s="6">
        <v>0.2</v>
      </c>
      <c r="F108" s="7">
        <f t="shared" si="2"/>
        <v>16.296153846153846</v>
      </c>
      <c r="G108" s="3"/>
      <c r="H108" s="3"/>
      <c r="I108" s="3"/>
      <c r="J108" s="3"/>
    </row>
    <row r="109" spans="1:10" x14ac:dyDescent="0.25">
      <c r="A109" s="3" t="s">
        <v>45</v>
      </c>
      <c r="B109" s="3" t="s">
        <v>13</v>
      </c>
      <c r="C109" s="3">
        <v>44</v>
      </c>
      <c r="D109" s="7">
        <f>'Population change 2018 to 2024'!$D$8*'Laborforce adjustment'!C109</f>
        <v>47.17307692307692</v>
      </c>
      <c r="E109" s="6">
        <v>0.2</v>
      </c>
      <c r="F109" s="7">
        <f t="shared" si="2"/>
        <v>9.434615384615384</v>
      </c>
      <c r="G109" s="3"/>
      <c r="H109" s="3"/>
      <c r="I109" s="3"/>
      <c r="J109" s="3" t="s">
        <v>65</v>
      </c>
    </row>
    <row r="110" spans="1:10" x14ac:dyDescent="0.25">
      <c r="A110" s="3" t="s">
        <v>45</v>
      </c>
      <c r="B110" s="3" t="s">
        <v>26</v>
      </c>
      <c r="C110" s="3">
        <v>107</v>
      </c>
      <c r="D110" s="7">
        <f>'Population change 2018 to 2024'!$D$8*'Laborforce adjustment'!C110</f>
        <v>114.71634615384615</v>
      </c>
      <c r="E110" s="6">
        <v>0.02</v>
      </c>
      <c r="F110" s="7">
        <f t="shared" si="2"/>
        <v>2.2943269230769228</v>
      </c>
      <c r="G110" s="3"/>
      <c r="H110" s="3"/>
      <c r="I110" s="3"/>
      <c r="J110" s="3"/>
    </row>
    <row r="111" spans="1:10" x14ac:dyDescent="0.25">
      <c r="A111" s="3" t="s">
        <v>45</v>
      </c>
      <c r="B111" s="3" t="s">
        <v>27</v>
      </c>
      <c r="C111" s="3">
        <v>48</v>
      </c>
      <c r="D111" s="7">
        <f>'Population change 2018 to 2024'!$D$8*'Laborforce adjustment'!C111</f>
        <v>51.46153846153846</v>
      </c>
      <c r="E111" s="6">
        <v>0.2</v>
      </c>
      <c r="F111" s="7">
        <f t="shared" si="2"/>
        <v>10.292307692307693</v>
      </c>
      <c r="G111" s="3"/>
      <c r="H111" s="3"/>
      <c r="I111" s="3"/>
      <c r="J111" s="3"/>
    </row>
    <row r="112" spans="1:10" x14ac:dyDescent="0.25">
      <c r="A112" s="3" t="s">
        <v>45</v>
      </c>
      <c r="B112" s="3" t="s">
        <v>31</v>
      </c>
      <c r="C112" s="3">
        <v>5</v>
      </c>
      <c r="D112" s="7">
        <f>'Population change 2018 to 2024'!$D$8*'Laborforce adjustment'!C112</f>
        <v>5.3605769230769234</v>
      </c>
      <c r="E112" s="6">
        <v>0.2</v>
      </c>
      <c r="F112" s="7">
        <f t="shared" si="2"/>
        <v>1.0721153846153848</v>
      </c>
      <c r="G112" s="3"/>
      <c r="H112" s="3"/>
      <c r="I112" s="3"/>
      <c r="J112" s="3"/>
    </row>
    <row r="113" spans="1:10" x14ac:dyDescent="0.25">
      <c r="A113" s="3" t="s">
        <v>45</v>
      </c>
      <c r="B113" s="3" t="s">
        <v>32</v>
      </c>
      <c r="C113" s="3">
        <v>13</v>
      </c>
      <c r="D113" s="7">
        <f>'Population change 2018 to 2024'!$D$8*'Laborforce adjustment'!C113</f>
        <v>13.9375</v>
      </c>
      <c r="E113" s="6">
        <v>0.2</v>
      </c>
      <c r="F113" s="7">
        <f t="shared" si="2"/>
        <v>2.7875000000000001</v>
      </c>
      <c r="G113" s="3"/>
      <c r="H113" s="3"/>
      <c r="I113" s="3"/>
      <c r="J113" s="3"/>
    </row>
    <row r="114" spans="1:10" x14ac:dyDescent="0.25">
      <c r="A114" s="3" t="s">
        <v>46</v>
      </c>
      <c r="B114" s="3" t="s">
        <v>19</v>
      </c>
      <c r="C114" s="3">
        <v>12</v>
      </c>
      <c r="D114" s="7">
        <f>'Population change 2018 to 2024'!$D$10*'Laborforce adjustment'!C114</f>
        <v>11.443413729128014</v>
      </c>
      <c r="E114" s="6">
        <v>0.2</v>
      </c>
      <c r="F114" s="7">
        <f t="shared" si="2"/>
        <v>2.2886827458256032</v>
      </c>
      <c r="G114" s="3"/>
      <c r="H114" s="3" t="s">
        <v>65</v>
      </c>
      <c r="I114" s="8">
        <f>F114+F115+F119+F120+F122+F123+F124+F125</f>
        <v>19.864875387721415</v>
      </c>
      <c r="J114" s="3"/>
    </row>
    <row r="115" spans="1:10" x14ac:dyDescent="0.25">
      <c r="A115" s="3" t="s">
        <v>46</v>
      </c>
      <c r="B115" s="3" t="s">
        <v>15</v>
      </c>
      <c r="C115" s="3">
        <v>12</v>
      </c>
      <c r="D115" s="7">
        <f>'Population change 2018 to 2024'!$D$10*'Laborforce adjustment'!C115</f>
        <v>11.443413729128014</v>
      </c>
      <c r="E115" s="6">
        <v>0.2</v>
      </c>
      <c r="F115" s="7">
        <f t="shared" si="2"/>
        <v>2.2886827458256032</v>
      </c>
      <c r="G115" s="3"/>
      <c r="H115" s="3" t="s">
        <v>65</v>
      </c>
      <c r="I115" s="9"/>
      <c r="J115" s="3"/>
    </row>
    <row r="116" spans="1:10" x14ac:dyDescent="0.25">
      <c r="A116" s="3" t="s">
        <v>46</v>
      </c>
      <c r="B116" s="3" t="s">
        <v>13</v>
      </c>
      <c r="C116" s="3">
        <v>61</v>
      </c>
      <c r="D116" s="7">
        <f>'Population change 2018 to 2024'!$D$10*'Laborforce adjustment'!C116</f>
        <v>58.170686456400738</v>
      </c>
      <c r="E116" s="6">
        <v>0.2</v>
      </c>
      <c r="F116" s="7">
        <f t="shared" si="2"/>
        <v>11.634137291280148</v>
      </c>
      <c r="G116" s="3" t="s">
        <v>65</v>
      </c>
      <c r="H116" s="3"/>
      <c r="I116" s="9"/>
      <c r="J116" s="3"/>
    </row>
    <row r="117" spans="1:10" x14ac:dyDescent="0.25">
      <c r="A117" s="3" t="s">
        <v>46</v>
      </c>
      <c r="B117" s="3" t="s">
        <v>34</v>
      </c>
      <c r="C117" s="3">
        <v>412</v>
      </c>
      <c r="D117" s="7">
        <f>'Population change 2018 to 2024'!$D$10*'Laborforce adjustment'!C117</f>
        <v>392.89053803339516</v>
      </c>
      <c r="E117" s="6">
        <v>0.02</v>
      </c>
      <c r="F117" s="7">
        <f t="shared" si="2"/>
        <v>7.8578107606679035</v>
      </c>
      <c r="G117" s="3"/>
      <c r="H117" s="3"/>
      <c r="I117" s="9"/>
      <c r="J117" s="3"/>
    </row>
    <row r="118" spans="1:10" x14ac:dyDescent="0.25">
      <c r="A118" s="3" t="s">
        <v>46</v>
      </c>
      <c r="B118" s="3" t="s">
        <v>16</v>
      </c>
      <c r="C118" s="3">
        <v>10</v>
      </c>
      <c r="D118" s="7">
        <f>'Population change 2018 to 2024'!$D$10*'Laborforce adjustment'!C118</f>
        <v>9.5361781076066787</v>
      </c>
      <c r="E118" s="6">
        <v>0.2</v>
      </c>
      <c r="F118" s="7">
        <f t="shared" si="2"/>
        <v>1.9072356215213357</v>
      </c>
      <c r="G118" s="3" t="s">
        <v>65</v>
      </c>
      <c r="H118" s="3"/>
      <c r="I118" s="9"/>
      <c r="J118" s="3"/>
    </row>
    <row r="119" spans="1:10" x14ac:dyDescent="0.25">
      <c r="A119" s="3" t="s">
        <v>46</v>
      </c>
      <c r="B119" s="3" t="s">
        <v>31</v>
      </c>
      <c r="C119" s="3">
        <v>5</v>
      </c>
      <c r="D119" s="7">
        <f>'Population change 2018 to 2024'!$D$10*'Laborforce adjustment'!C119</f>
        <v>4.7680890538033394</v>
      </c>
      <c r="E119" s="6">
        <v>0.2</v>
      </c>
      <c r="F119" s="7">
        <f t="shared" si="2"/>
        <v>0.95361781076066787</v>
      </c>
      <c r="G119" s="3"/>
      <c r="H119" s="3" t="s">
        <v>65</v>
      </c>
      <c r="I119" s="9"/>
      <c r="J119" s="3"/>
    </row>
    <row r="120" spans="1:10" x14ac:dyDescent="0.25">
      <c r="A120" s="3" t="s">
        <v>46</v>
      </c>
      <c r="B120" s="3" t="s">
        <v>32</v>
      </c>
      <c r="C120" s="3">
        <v>9</v>
      </c>
      <c r="D120" s="7">
        <f>'Population change 2018 to 2024'!$D$10*'Laborforce adjustment'!C120</f>
        <v>8.5825602968460117</v>
      </c>
      <c r="E120" s="6">
        <v>0.2</v>
      </c>
      <c r="F120" s="7">
        <f t="shared" si="2"/>
        <v>1.7165120593692025</v>
      </c>
      <c r="G120" s="3"/>
      <c r="H120" s="3" t="s">
        <v>65</v>
      </c>
      <c r="I120" s="9"/>
      <c r="J120" s="3"/>
    </row>
    <row r="121" spans="1:10" x14ac:dyDescent="0.25">
      <c r="A121" s="3" t="s">
        <v>46</v>
      </c>
      <c r="B121" s="3" t="s">
        <v>32</v>
      </c>
      <c r="C121" s="3">
        <v>1</v>
      </c>
      <c r="D121" s="7">
        <f>'Population change 2018 to 2024'!$D$10*'Laborforce adjustment'!C121</f>
        <v>0.95361781076066787</v>
      </c>
      <c r="E121" s="6">
        <v>0.2</v>
      </c>
      <c r="F121" s="7">
        <f t="shared" si="2"/>
        <v>0.1907235621521336</v>
      </c>
      <c r="G121" s="3"/>
      <c r="H121" s="3" t="s">
        <v>65</v>
      </c>
      <c r="I121" s="9"/>
      <c r="J121" s="3"/>
    </row>
    <row r="122" spans="1:10" x14ac:dyDescent="0.25">
      <c r="A122" s="3" t="s">
        <v>47</v>
      </c>
      <c r="B122" s="3" t="s">
        <v>24</v>
      </c>
      <c r="C122" s="3">
        <v>6</v>
      </c>
      <c r="D122" s="7">
        <f>'Population change 2018 to 2024'!$D$11*C122</f>
        <v>5.9143968871595334</v>
      </c>
      <c r="E122" s="6">
        <v>0.2</v>
      </c>
      <c r="F122" s="7">
        <f t="shared" si="2"/>
        <v>1.1828793774319066</v>
      </c>
      <c r="G122" s="3"/>
      <c r="H122" s="3" t="s">
        <v>65</v>
      </c>
      <c r="I122" s="8">
        <f>F122+F123+F124+F125+F129+F130</f>
        <v>17.7431906614786</v>
      </c>
      <c r="J122" s="3"/>
    </row>
    <row r="123" spans="1:10" x14ac:dyDescent="0.25">
      <c r="A123" s="3" t="s">
        <v>47</v>
      </c>
      <c r="B123" s="3" t="s">
        <v>21</v>
      </c>
      <c r="C123" s="3">
        <v>8</v>
      </c>
      <c r="D123" s="7">
        <f>'Population change 2018 to 2024'!$D$11*C123</f>
        <v>7.8858625162127112</v>
      </c>
      <c r="E123" s="6">
        <v>0.2</v>
      </c>
      <c r="F123" s="7">
        <f t="shared" si="2"/>
        <v>1.5771725032425423</v>
      </c>
      <c r="G123" s="3"/>
      <c r="H123" s="3" t="s">
        <v>65</v>
      </c>
      <c r="I123" s="9"/>
      <c r="J123" s="3"/>
    </row>
    <row r="124" spans="1:10" x14ac:dyDescent="0.25">
      <c r="A124" s="3" t="s">
        <v>47</v>
      </c>
      <c r="B124" s="3" t="s">
        <v>19</v>
      </c>
      <c r="C124" s="3">
        <v>15</v>
      </c>
      <c r="D124" s="7">
        <f>'Population change 2018 to 2024'!$D$11*C124</f>
        <v>14.785992217898833</v>
      </c>
      <c r="E124" s="6">
        <v>0.2</v>
      </c>
      <c r="F124" s="7">
        <f t="shared" si="2"/>
        <v>2.9571984435797667</v>
      </c>
      <c r="G124" s="3"/>
      <c r="H124" s="3" t="s">
        <v>65</v>
      </c>
      <c r="I124" s="9"/>
      <c r="J124" s="3"/>
    </row>
    <row r="125" spans="1:10" x14ac:dyDescent="0.25">
      <c r="A125" s="3" t="s">
        <v>47</v>
      </c>
      <c r="B125" s="3" t="s">
        <v>15</v>
      </c>
      <c r="C125" s="3">
        <v>35</v>
      </c>
      <c r="D125" s="7">
        <f>'Population change 2018 to 2024'!$D$11*C125</f>
        <v>34.500648508430615</v>
      </c>
      <c r="E125" s="6">
        <v>0.2</v>
      </c>
      <c r="F125" s="7">
        <f t="shared" si="2"/>
        <v>6.9001297016861232</v>
      </c>
      <c r="G125" s="3"/>
      <c r="H125" s="3" t="s">
        <v>65</v>
      </c>
      <c r="I125" s="9"/>
      <c r="J125" s="3"/>
    </row>
    <row r="126" spans="1:10" x14ac:dyDescent="0.25">
      <c r="A126" s="3" t="s">
        <v>47</v>
      </c>
      <c r="B126" s="3" t="s">
        <v>13</v>
      </c>
      <c r="C126" s="3">
        <v>184</v>
      </c>
      <c r="D126" s="7">
        <f>'Population change 2018 to 2024'!$D$11*C126</f>
        <v>181.37483787289236</v>
      </c>
      <c r="E126" s="6">
        <v>0.2</v>
      </c>
      <c r="F126" s="7">
        <f t="shared" si="2"/>
        <v>36.274967574578476</v>
      </c>
      <c r="G126" s="3" t="s">
        <v>65</v>
      </c>
      <c r="H126" s="3"/>
      <c r="I126" s="9"/>
      <c r="J126" s="3"/>
    </row>
    <row r="127" spans="1:10" x14ac:dyDescent="0.25">
      <c r="A127" s="3" t="s">
        <v>47</v>
      </c>
      <c r="B127" s="3" t="s">
        <v>34</v>
      </c>
      <c r="C127" s="3">
        <v>26</v>
      </c>
      <c r="D127" s="7">
        <f>'Population change 2018 to 2024'!$D$11*C127</f>
        <v>25.629053177691311</v>
      </c>
      <c r="E127" s="6">
        <v>0.2</v>
      </c>
      <c r="F127" s="7">
        <f t="shared" si="2"/>
        <v>5.1258106355382624</v>
      </c>
      <c r="G127" s="3" t="s">
        <v>65</v>
      </c>
      <c r="H127" s="3"/>
      <c r="I127" s="9"/>
      <c r="J127" s="3"/>
    </row>
    <row r="128" spans="1:10" x14ac:dyDescent="0.25">
      <c r="A128" s="3" t="s">
        <v>47</v>
      </c>
      <c r="B128" s="3" t="s">
        <v>16</v>
      </c>
      <c r="C128" s="3">
        <v>363</v>
      </c>
      <c r="D128" s="7">
        <f>'Population change 2018 to 2024'!$D$11*C128</f>
        <v>357.82101167315176</v>
      </c>
      <c r="E128" s="6">
        <v>0.02</v>
      </c>
      <c r="F128" s="7">
        <f t="shared" si="2"/>
        <v>7.1564202334630354</v>
      </c>
      <c r="G128" s="3"/>
      <c r="H128" s="3"/>
      <c r="I128" s="9"/>
      <c r="J128" s="3"/>
    </row>
    <row r="129" spans="1:11" x14ac:dyDescent="0.25">
      <c r="A129" s="3" t="s">
        <v>47</v>
      </c>
      <c r="B129" s="3" t="s">
        <v>31</v>
      </c>
      <c r="C129" s="3">
        <v>8</v>
      </c>
      <c r="D129" s="7">
        <f>'Population change 2018 to 2024'!$D$11*C129</f>
        <v>7.8858625162127112</v>
      </c>
      <c r="E129" s="6">
        <v>0.2</v>
      </c>
      <c r="F129" s="7">
        <f t="shared" si="2"/>
        <v>1.5771725032425423</v>
      </c>
      <c r="G129" s="3"/>
      <c r="H129" s="3" t="s">
        <v>65</v>
      </c>
      <c r="I129" s="9"/>
      <c r="J129" s="3"/>
    </row>
    <row r="130" spans="1:11" x14ac:dyDescent="0.25">
      <c r="A130" s="3" t="s">
        <v>47</v>
      </c>
      <c r="B130" s="3" t="s">
        <v>32</v>
      </c>
      <c r="C130" s="3">
        <v>18</v>
      </c>
      <c r="D130" s="7">
        <f>'Population change 2018 to 2024'!$D$11*C130</f>
        <v>17.7431906614786</v>
      </c>
      <c r="E130" s="6">
        <v>0.2</v>
      </c>
      <c r="F130" s="7">
        <f t="shared" si="2"/>
        <v>3.5486381322957201</v>
      </c>
      <c r="G130" s="3"/>
      <c r="H130" s="3" t="s">
        <v>65</v>
      </c>
      <c r="I130" s="9"/>
      <c r="J130" s="3"/>
    </row>
    <row r="131" spans="1:11" x14ac:dyDescent="0.25">
      <c r="A131" s="3" t="s">
        <v>48</v>
      </c>
      <c r="B131" s="3" t="s">
        <v>40</v>
      </c>
      <c r="C131" s="3">
        <v>9</v>
      </c>
      <c r="D131" s="7">
        <f>'Population change 2018 to 2024'!$D$13*'Laborforce adjustment'!C131</f>
        <v>8.601659751037344</v>
      </c>
      <c r="E131" s="6">
        <v>0.2</v>
      </c>
      <c r="F131" s="7">
        <f t="shared" si="2"/>
        <v>1.720331950207469</v>
      </c>
      <c r="G131" s="3"/>
      <c r="H131" s="3"/>
      <c r="I131" s="3"/>
      <c r="J131" s="3"/>
    </row>
    <row r="132" spans="1:11" x14ac:dyDescent="0.25">
      <c r="A132" s="3" t="s">
        <v>48</v>
      </c>
      <c r="B132" s="3" t="s">
        <v>41</v>
      </c>
      <c r="C132" s="3">
        <v>6</v>
      </c>
      <c r="D132" s="7">
        <f>'Population change 2018 to 2024'!$D$13*'Laborforce adjustment'!C132</f>
        <v>5.7344398340248963</v>
      </c>
      <c r="E132" s="6">
        <v>0.2</v>
      </c>
      <c r="F132" s="7">
        <f t="shared" si="2"/>
        <v>1.1468879668049794</v>
      </c>
      <c r="G132" s="3"/>
      <c r="H132" s="3"/>
      <c r="I132" s="3"/>
      <c r="J132" s="3"/>
    </row>
    <row r="133" spans="1:11" x14ac:dyDescent="0.25">
      <c r="A133" s="3" t="s">
        <v>48</v>
      </c>
      <c r="B133" s="3" t="s">
        <v>24</v>
      </c>
      <c r="C133" s="3">
        <v>9</v>
      </c>
      <c r="D133" s="7">
        <f>'Population change 2018 to 2024'!$D$13*'Laborforce adjustment'!C133</f>
        <v>8.601659751037344</v>
      </c>
      <c r="E133" s="6">
        <v>0.2</v>
      </c>
      <c r="F133" s="7">
        <f t="shared" si="2"/>
        <v>1.720331950207469</v>
      </c>
      <c r="G133" s="3"/>
      <c r="H133" s="3"/>
      <c r="I133" s="3"/>
      <c r="J133" s="3"/>
    </row>
    <row r="134" spans="1:11" x14ac:dyDescent="0.25">
      <c r="A134" s="3" t="s">
        <v>48</v>
      </c>
      <c r="B134" s="3" t="s">
        <v>21</v>
      </c>
      <c r="C134" s="3">
        <v>9</v>
      </c>
      <c r="D134" s="7">
        <f>'Population change 2018 to 2024'!$D$13*'Laborforce adjustment'!C134</f>
        <v>8.601659751037344</v>
      </c>
      <c r="E134" s="6">
        <v>0.2</v>
      </c>
      <c r="F134" s="7">
        <f t="shared" si="2"/>
        <v>1.720331950207469</v>
      </c>
      <c r="G134" s="3"/>
      <c r="H134" s="3"/>
      <c r="I134" s="3"/>
      <c r="J134" s="3"/>
    </row>
    <row r="135" spans="1:11" x14ac:dyDescent="0.25">
      <c r="A135" s="3" t="s">
        <v>48</v>
      </c>
      <c r="B135" s="3" t="s">
        <v>36</v>
      </c>
      <c r="C135" s="3">
        <v>7</v>
      </c>
      <c r="D135" s="7">
        <f>'Population change 2018 to 2024'!$D$13*'Laborforce adjustment'!C135</f>
        <v>6.6901798063623792</v>
      </c>
      <c r="E135" s="6">
        <v>0.2</v>
      </c>
      <c r="F135" s="7">
        <f t="shared" si="2"/>
        <v>1.3380359612724759</v>
      </c>
      <c r="G135" s="3"/>
      <c r="H135" s="3"/>
      <c r="I135" s="3"/>
      <c r="J135" s="3"/>
    </row>
    <row r="136" spans="1:11" x14ac:dyDescent="0.25">
      <c r="A136" s="3" t="s">
        <v>48</v>
      </c>
      <c r="B136" s="3" t="s">
        <v>19</v>
      </c>
      <c r="C136" s="3">
        <v>28</v>
      </c>
      <c r="D136" s="7">
        <f>'Population change 2018 to 2024'!$D$13*'Laborforce adjustment'!C136</f>
        <v>26.760719225449517</v>
      </c>
      <c r="E136" s="6">
        <v>0.2</v>
      </c>
      <c r="F136" s="7">
        <f t="shared" si="2"/>
        <v>5.3521438450899037</v>
      </c>
      <c r="G136" s="3"/>
      <c r="H136" s="3"/>
      <c r="I136" s="3"/>
      <c r="J136" s="3"/>
    </row>
    <row r="137" spans="1:11" x14ac:dyDescent="0.25">
      <c r="A137" s="3" t="s">
        <v>48</v>
      </c>
      <c r="B137" s="3" t="s">
        <v>25</v>
      </c>
      <c r="C137" s="3">
        <v>13</v>
      </c>
      <c r="D137" s="7">
        <f>'Population change 2018 to 2024'!$D$13*'Laborforce adjustment'!C137</f>
        <v>12.424619640387276</v>
      </c>
      <c r="E137" s="6">
        <v>0.2</v>
      </c>
      <c r="F137" s="7">
        <f t="shared" si="2"/>
        <v>2.4849239280774551</v>
      </c>
      <c r="G137" s="3"/>
      <c r="H137" s="3"/>
      <c r="I137" s="3"/>
      <c r="J137" s="3"/>
    </row>
    <row r="138" spans="1:11" x14ac:dyDescent="0.25">
      <c r="A138" s="3" t="s">
        <v>48</v>
      </c>
      <c r="B138" s="3" t="s">
        <v>15</v>
      </c>
      <c r="C138" s="3">
        <v>101</v>
      </c>
      <c r="D138" s="7">
        <f>'Population change 2018 to 2024'!$D$13*'Laborforce adjustment'!C138</f>
        <v>96.529737206085755</v>
      </c>
      <c r="E138" s="6">
        <v>0.2</v>
      </c>
      <c r="F138" s="7">
        <f t="shared" si="2"/>
        <v>19.305947441217153</v>
      </c>
      <c r="G138" s="3"/>
      <c r="H138" s="3"/>
      <c r="I138" s="3"/>
      <c r="J138" s="3"/>
    </row>
    <row r="139" spans="1:11" x14ac:dyDescent="0.25">
      <c r="A139" s="3" t="s">
        <v>48</v>
      </c>
      <c r="B139" s="3" t="s">
        <v>13</v>
      </c>
      <c r="C139" s="3">
        <v>54</v>
      </c>
      <c r="D139" s="7">
        <f>'Population change 2018 to 2024'!$D$13*'Laborforce adjustment'!C139</f>
        <v>51.609958506224068</v>
      </c>
      <c r="E139" s="6">
        <v>0.2</v>
      </c>
      <c r="F139" s="7">
        <f t="shared" si="2"/>
        <v>10.321991701244814</v>
      </c>
      <c r="G139" s="3"/>
      <c r="H139" s="3"/>
      <c r="I139" s="3"/>
      <c r="J139" s="3" t="s">
        <v>65</v>
      </c>
    </row>
    <row r="140" spans="1:11" x14ac:dyDescent="0.25">
      <c r="A140" s="3" t="s">
        <v>48</v>
      </c>
      <c r="B140" s="3" t="s">
        <v>26</v>
      </c>
      <c r="C140" s="3">
        <v>6</v>
      </c>
      <c r="D140" s="7">
        <f>'Population change 2018 to 2024'!$D$13*'Laborforce adjustment'!C140</f>
        <v>5.7344398340248963</v>
      </c>
      <c r="E140" s="6">
        <v>0.2</v>
      </c>
      <c r="F140" s="7">
        <f t="shared" si="2"/>
        <v>1.1468879668049794</v>
      </c>
      <c r="G140" s="3"/>
      <c r="H140" s="3"/>
      <c r="I140" s="3"/>
      <c r="J140" s="3"/>
    </row>
    <row r="141" spans="1:11" x14ac:dyDescent="0.25">
      <c r="A141" s="3" t="s">
        <v>48</v>
      </c>
      <c r="B141" s="3" t="s">
        <v>16</v>
      </c>
      <c r="C141" s="3">
        <v>9</v>
      </c>
      <c r="D141" s="7">
        <f>'Population change 2018 to 2024'!$D$13*'Laborforce adjustment'!C141</f>
        <v>8.601659751037344</v>
      </c>
      <c r="E141" s="6">
        <v>0.2</v>
      </c>
      <c r="F141" s="7">
        <f t="shared" si="2"/>
        <v>1.720331950207469</v>
      </c>
      <c r="G141" s="3"/>
      <c r="H141" s="3"/>
      <c r="I141" s="3"/>
      <c r="J141" s="3" t="s">
        <v>65</v>
      </c>
      <c r="K141" s="1"/>
    </row>
    <row r="142" spans="1:11" x14ac:dyDescent="0.25">
      <c r="A142" s="3" t="s">
        <v>48</v>
      </c>
      <c r="B142" s="3" t="s">
        <v>27</v>
      </c>
      <c r="C142" s="3">
        <v>336</v>
      </c>
      <c r="D142" s="7">
        <f>'Population change 2018 to 2024'!$D$13*'Laborforce adjustment'!C142</f>
        <v>321.12863070539419</v>
      </c>
      <c r="E142" s="3"/>
      <c r="F142" s="7">
        <f t="shared" si="2"/>
        <v>0</v>
      </c>
      <c r="G142" s="3"/>
      <c r="H142" s="3"/>
      <c r="I142" s="3"/>
      <c r="J142" s="3"/>
    </row>
    <row r="143" spans="1:11" x14ac:dyDescent="0.25">
      <c r="A143" s="3" t="s">
        <v>48</v>
      </c>
      <c r="B143" s="3" t="s">
        <v>31</v>
      </c>
      <c r="C143" s="3">
        <v>6</v>
      </c>
      <c r="D143" s="7">
        <f>'Population change 2018 to 2024'!$D$13*'Laborforce adjustment'!C143</f>
        <v>5.7344398340248963</v>
      </c>
      <c r="E143" s="6">
        <v>0.2</v>
      </c>
      <c r="F143" s="7">
        <f t="shared" si="2"/>
        <v>1.1468879668049794</v>
      </c>
      <c r="G143" s="3"/>
      <c r="H143" s="3"/>
      <c r="I143" s="3"/>
      <c r="J143" s="3"/>
    </row>
    <row r="144" spans="1:11" x14ac:dyDescent="0.25">
      <c r="A144" s="3" t="s">
        <v>48</v>
      </c>
      <c r="B144" s="3" t="s">
        <v>32</v>
      </c>
      <c r="C144" s="3">
        <v>17</v>
      </c>
      <c r="D144" s="7">
        <f>'Population change 2018 to 2024'!$D$13*'Laborforce adjustment'!C144</f>
        <v>16.247579529737205</v>
      </c>
      <c r="E144" s="6">
        <v>0.2</v>
      </c>
      <c r="F144" s="7">
        <f t="shared" si="2"/>
        <v>3.2495159059474412</v>
      </c>
      <c r="G144" s="3"/>
      <c r="H144" s="3"/>
      <c r="I144" s="3"/>
      <c r="J144" s="3"/>
    </row>
    <row r="145" spans="1:10" x14ac:dyDescent="0.25">
      <c r="A145" s="3" t="s">
        <v>49</v>
      </c>
      <c r="B145" s="3" t="s">
        <v>40</v>
      </c>
      <c r="C145" s="3">
        <v>30</v>
      </c>
      <c r="D145" s="7">
        <f>'Population change 2018 to 2024'!$D$3*'Laborforce adjustment'!C145</f>
        <v>28.558659217877096</v>
      </c>
      <c r="E145" s="6">
        <v>0.2</v>
      </c>
      <c r="F145" s="7">
        <f t="shared" si="2"/>
        <v>5.7117318435754196</v>
      </c>
      <c r="G145" s="3"/>
      <c r="H145" s="3" t="s">
        <v>65</v>
      </c>
      <c r="I145" s="8">
        <f>F145+F146+F147+F152+F153</f>
        <v>21.514189944134081</v>
      </c>
      <c r="J145" s="3"/>
    </row>
    <row r="146" spans="1:10" x14ac:dyDescent="0.25">
      <c r="A146" s="3" t="s">
        <v>49</v>
      </c>
      <c r="B146" s="3" t="s">
        <v>21</v>
      </c>
      <c r="C146" s="3">
        <v>6</v>
      </c>
      <c r="D146" s="7">
        <f>'Population change 2018 to 2024'!$D$3*'Laborforce adjustment'!C146</f>
        <v>5.7117318435754187</v>
      </c>
      <c r="E146" s="6">
        <v>0.2</v>
      </c>
      <c r="F146" s="7">
        <f t="shared" si="2"/>
        <v>1.1423463687150839</v>
      </c>
      <c r="G146" s="3"/>
      <c r="H146" s="3" t="s">
        <v>65</v>
      </c>
      <c r="I146" s="8"/>
      <c r="J146" s="3"/>
    </row>
    <row r="147" spans="1:10" x14ac:dyDescent="0.25">
      <c r="A147" s="3" t="s">
        <v>49</v>
      </c>
      <c r="B147" s="3" t="s">
        <v>15</v>
      </c>
      <c r="C147" s="3">
        <v>49</v>
      </c>
      <c r="D147" s="7">
        <f>'Population change 2018 to 2024'!$D$3*'Laborforce adjustment'!C147</f>
        <v>46.645810055865923</v>
      </c>
      <c r="E147" s="6">
        <v>0.2</v>
      </c>
      <c r="F147" s="7">
        <f t="shared" si="2"/>
        <v>9.3291620111731852</v>
      </c>
      <c r="G147" s="3"/>
      <c r="H147" s="3" t="s">
        <v>65</v>
      </c>
      <c r="I147" s="8"/>
      <c r="J147" s="3"/>
    </row>
    <row r="148" spans="1:10" x14ac:dyDescent="0.25">
      <c r="A148" s="3" t="s">
        <v>49</v>
      </c>
      <c r="B148" s="3" t="s">
        <v>13</v>
      </c>
      <c r="C148" s="3">
        <v>98</v>
      </c>
      <c r="D148" s="7">
        <f>'Population change 2018 to 2024'!$D$3*'Laborforce adjustment'!C148</f>
        <v>93.291620111731845</v>
      </c>
      <c r="E148" s="6">
        <v>0.2</v>
      </c>
      <c r="F148" s="7">
        <f t="shared" si="2"/>
        <v>18.65832402234637</v>
      </c>
      <c r="G148" s="3" t="s">
        <v>65</v>
      </c>
      <c r="H148" s="3"/>
      <c r="I148" s="8"/>
      <c r="J148" s="3"/>
    </row>
    <row r="149" spans="1:10" x14ac:dyDescent="0.25">
      <c r="A149" s="3" t="s">
        <v>49</v>
      </c>
      <c r="B149" s="3" t="s">
        <v>34</v>
      </c>
      <c r="C149" s="3">
        <v>57</v>
      </c>
      <c r="D149" s="7">
        <f>'Population change 2018 to 2024'!$D$3*'Laborforce adjustment'!C149</f>
        <v>54.261452513966482</v>
      </c>
      <c r="E149" s="6">
        <v>0.2</v>
      </c>
      <c r="F149" s="7">
        <f t="shared" si="2"/>
        <v>10.852290502793297</v>
      </c>
      <c r="G149" s="3" t="s">
        <v>65</v>
      </c>
      <c r="H149" s="3"/>
      <c r="I149" s="8"/>
      <c r="J149" s="3"/>
    </row>
    <row r="150" spans="1:10" x14ac:dyDescent="0.25">
      <c r="A150" s="3" t="s">
        <v>49</v>
      </c>
      <c r="B150" s="3" t="s">
        <v>16</v>
      </c>
      <c r="C150" s="3">
        <v>19</v>
      </c>
      <c r="D150" s="7">
        <f>'Population change 2018 to 2024'!$D$3*'Laborforce adjustment'!C150</f>
        <v>18.087150837988826</v>
      </c>
      <c r="E150" s="6">
        <v>0.2</v>
      </c>
      <c r="F150" s="7">
        <f t="shared" si="2"/>
        <v>3.6174301675977656</v>
      </c>
      <c r="G150" s="3" t="s">
        <v>65</v>
      </c>
      <c r="H150" s="3"/>
      <c r="I150" s="8"/>
      <c r="J150" s="3"/>
    </row>
    <row r="151" spans="1:10" x14ac:dyDescent="0.25">
      <c r="A151" s="3" t="s">
        <v>49</v>
      </c>
      <c r="B151" s="3" t="s">
        <v>17</v>
      </c>
      <c r="C151" s="3">
        <v>431</v>
      </c>
      <c r="D151" s="7">
        <f>'Population change 2018 to 2024'!$D$3*'Laborforce adjustment'!C151</f>
        <v>410.29273743016762</v>
      </c>
      <c r="E151" s="6">
        <v>0.1</v>
      </c>
      <c r="F151" s="7">
        <f t="shared" si="2"/>
        <v>41.029273743016766</v>
      </c>
      <c r="G151" s="3"/>
      <c r="H151" s="3"/>
      <c r="I151" s="8"/>
      <c r="J151" s="3"/>
    </row>
    <row r="152" spans="1:10" x14ac:dyDescent="0.25">
      <c r="A152" s="3" t="s">
        <v>49</v>
      </c>
      <c r="B152" s="3" t="s">
        <v>31</v>
      </c>
      <c r="C152" s="3">
        <v>7</v>
      </c>
      <c r="D152" s="7">
        <f>'Population change 2018 to 2024'!$D$3*'Laborforce adjustment'!C152</f>
        <v>6.6636871508379887</v>
      </c>
      <c r="E152" s="6">
        <v>0.2</v>
      </c>
      <c r="F152" s="7">
        <f t="shared" si="2"/>
        <v>1.3327374301675978</v>
      </c>
      <c r="G152" s="3"/>
      <c r="H152" s="3" t="s">
        <v>65</v>
      </c>
      <c r="I152" s="8"/>
      <c r="J152" s="3"/>
    </row>
    <row r="153" spans="1:10" x14ac:dyDescent="0.25">
      <c r="A153" s="3" t="s">
        <v>49</v>
      </c>
      <c r="B153" s="3" t="s">
        <v>32</v>
      </c>
      <c r="C153" s="3">
        <v>21</v>
      </c>
      <c r="D153" s="7">
        <f>'Population change 2018 to 2024'!$D$3*'Laborforce adjustment'!C153</f>
        <v>19.991061452513968</v>
      </c>
      <c r="E153" s="6">
        <v>0.2</v>
      </c>
      <c r="F153" s="7">
        <f t="shared" si="2"/>
        <v>3.9982122905027939</v>
      </c>
      <c r="G153" s="3"/>
      <c r="H153" s="3" t="s">
        <v>65</v>
      </c>
      <c r="I153" s="8"/>
      <c r="J153" s="3"/>
    </row>
    <row r="154" spans="1:10" x14ac:dyDescent="0.25">
      <c r="A154" s="3" t="s">
        <v>50</v>
      </c>
      <c r="B154" s="3" t="s">
        <v>15</v>
      </c>
      <c r="C154" s="3">
        <v>12</v>
      </c>
      <c r="D154" s="3"/>
      <c r="E154" s="3"/>
      <c r="F154" s="7"/>
      <c r="G154" s="3"/>
      <c r="H154" s="3"/>
      <c r="I154" s="3"/>
      <c r="J154" s="3"/>
    </row>
    <row r="155" spans="1:10" x14ac:dyDescent="0.25">
      <c r="A155" s="3" t="s">
        <v>50</v>
      </c>
      <c r="B155" s="3" t="s">
        <v>13</v>
      </c>
      <c r="C155" s="3">
        <v>7</v>
      </c>
      <c r="D155" s="3"/>
      <c r="E155" s="6">
        <v>0.2</v>
      </c>
      <c r="F155" s="7">
        <f>E155*C155</f>
        <v>1.4000000000000001</v>
      </c>
      <c r="G155" s="3"/>
      <c r="H155" s="3"/>
      <c r="I155" s="3"/>
      <c r="J155" s="3" t="s">
        <v>65</v>
      </c>
    </row>
    <row r="156" spans="1:10" x14ac:dyDescent="0.25">
      <c r="A156" s="3" t="s">
        <v>51</v>
      </c>
      <c r="B156" s="3" t="s">
        <v>19</v>
      </c>
      <c r="C156" s="3">
        <v>5</v>
      </c>
      <c r="D156" s="3"/>
      <c r="E156" s="3"/>
      <c r="F156" s="7"/>
      <c r="G156" s="3"/>
      <c r="H156" s="3"/>
      <c r="I156" s="3"/>
      <c r="J156" s="3"/>
    </row>
    <row r="157" spans="1:10" x14ac:dyDescent="0.25">
      <c r="A157" s="3" t="s">
        <v>52</v>
      </c>
      <c r="B157" s="3" t="s">
        <v>15</v>
      </c>
      <c r="C157" s="3">
        <v>9</v>
      </c>
      <c r="D157" s="3"/>
      <c r="E157" s="3"/>
      <c r="F157" s="7"/>
      <c r="G157" s="3"/>
      <c r="H157" s="3"/>
      <c r="I157" s="3"/>
      <c r="J157" s="3"/>
    </row>
    <row r="158" spans="1:10" x14ac:dyDescent="0.25">
      <c r="A158" s="3" t="s">
        <v>52</v>
      </c>
      <c r="B158" s="3" t="s">
        <v>13</v>
      </c>
      <c r="C158" s="3">
        <v>17</v>
      </c>
      <c r="D158" s="3"/>
      <c r="E158" s="6">
        <v>0.2</v>
      </c>
      <c r="F158" s="7">
        <f t="shared" ref="F158" si="3">E158*C158</f>
        <v>3.4000000000000004</v>
      </c>
      <c r="G158" s="3"/>
      <c r="H158" s="3"/>
      <c r="I158" s="3"/>
      <c r="J158" s="3" t="s">
        <v>65</v>
      </c>
    </row>
    <row r="159" spans="1:10" x14ac:dyDescent="0.25">
      <c r="A159" s="3" t="s">
        <v>53</v>
      </c>
      <c r="B159" s="3" t="s">
        <v>21</v>
      </c>
      <c r="C159" s="3">
        <v>6</v>
      </c>
      <c r="D159" s="3"/>
      <c r="E159" s="3"/>
      <c r="F159" s="7"/>
      <c r="G159" s="3"/>
      <c r="H159" s="3"/>
      <c r="I159" s="3"/>
      <c r="J159" s="3"/>
    </row>
    <row r="160" spans="1:10" x14ac:dyDescent="0.25">
      <c r="A160" s="3" t="s">
        <v>53</v>
      </c>
      <c r="B160" s="3" t="s">
        <v>15</v>
      </c>
      <c r="C160" s="3">
        <v>5</v>
      </c>
      <c r="D160" s="3"/>
      <c r="E160" s="3"/>
      <c r="F160" s="7"/>
      <c r="G160" s="3"/>
      <c r="H160" s="3"/>
      <c r="I160" s="3"/>
      <c r="J160" s="3"/>
    </row>
    <row r="161" spans="1:10" x14ac:dyDescent="0.25">
      <c r="A161" s="3" t="s">
        <v>53</v>
      </c>
      <c r="B161" s="3" t="s">
        <v>16</v>
      </c>
      <c r="C161" s="3">
        <v>9</v>
      </c>
      <c r="D161" s="3"/>
      <c r="E161" s="3"/>
      <c r="F161" s="7"/>
      <c r="G161" s="3"/>
      <c r="H161" s="3"/>
      <c r="I161" s="3"/>
      <c r="J161" s="3"/>
    </row>
    <row r="162" spans="1:10" x14ac:dyDescent="0.25">
      <c r="F162" s="1"/>
    </row>
    <row r="163" spans="1:10" x14ac:dyDescent="0.25">
      <c r="F163" s="1"/>
    </row>
    <row r="164" spans="1:10" x14ac:dyDescent="0.25">
      <c r="F164" s="1"/>
      <c r="H164" s="2"/>
      <c r="I164" s="2"/>
    </row>
    <row r="165" spans="1:10" x14ac:dyDescent="0.25">
      <c r="F165" s="1"/>
    </row>
  </sheetData>
  <mergeCells count="4">
    <mergeCell ref="I88:I101"/>
    <mergeCell ref="I114:I121"/>
    <mergeCell ref="I122:I130"/>
    <mergeCell ref="I145:I153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c939de-6228-4e89-abac-f80475266b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008DDD5495AD4418D656E87ADC1FF16" ma:contentTypeVersion="11" ma:contentTypeDescription="Ein neues Dokument erstellen." ma:contentTypeScope="" ma:versionID="af0fda60868d3af6946b78a0f4e244db">
  <xsd:schema xmlns:xsd="http://www.w3.org/2001/XMLSchema" xmlns:xs="http://www.w3.org/2001/XMLSchema" xmlns:p="http://schemas.microsoft.com/office/2006/metadata/properties" xmlns:ns3="dfc939de-6228-4e89-abac-f80475266bb5" targetNamespace="http://schemas.microsoft.com/office/2006/metadata/properties" ma:root="true" ma:fieldsID="5ef09bcb4b71e7f3b18ae57c3e666798" ns3:_="">
    <xsd:import namespace="dfc939de-6228-4e89-abac-f80475266bb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939de-6228-4e89-abac-f80475266bb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8D4A16-B025-4D3A-84F8-09991B6271F1}">
  <ds:schemaRefs>
    <ds:schemaRef ds:uri="http://purl.org/dc/dcmitype/"/>
    <ds:schemaRef ds:uri="http://schemas.openxmlformats.org/package/2006/metadata/core-properties"/>
    <ds:schemaRef ds:uri="dfc939de-6228-4e89-abac-f80475266bb5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5EDB3ED-571D-421C-848F-C6A4842FCD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4F4B56-2C52-41B9-BF1F-34D64DE8A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c939de-6228-4e89-abac-f80475266b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Population change 2018 to 2024</vt:lpstr>
      <vt:lpstr>Laborforce adjustment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Jeschek</dc:creator>
  <cp:lastModifiedBy>Florian Jeschek</cp:lastModifiedBy>
  <dcterms:created xsi:type="dcterms:W3CDTF">2026-04-15T03:04:19Z</dcterms:created>
  <dcterms:modified xsi:type="dcterms:W3CDTF">2026-06-10T17:04:14Z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0x0101005008DDD5495AD4418D656E87ADC1FF16</vt:lpwstr>
  </property>
</Properties>
</file>