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1" documentId="8_{C3FE8392-34A9-4B65-9173-5299DFB54E7A}" xr6:coauthVersionLast="47" xr6:coauthVersionMax="47" xr10:uidLastSave="{DC7EB320-FD79-4E23-B00F-EA343BC1232A}"/>
  <bookViews>
    <workbookView xWindow="38280" yWindow="-120" windowWidth="38640" windowHeight="21120" xr2:uid="{1B150FB4-3BA6-438E-B565-EA5C4389ED0E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D18" i="1" l="1"/>
  <c r="D19" i="1"/>
  <c r="C19" i="1"/>
  <c r="C18" i="1"/>
  <c r="B18" i="1"/>
  <c r="D15" i="1"/>
  <c r="C15" i="1"/>
  <c r="B15" i="1"/>
  <c r="C12" i="1"/>
  <c r="B11" i="1"/>
  <c r="B12" i="1" s="1"/>
  <c r="D7" i="1"/>
  <c r="D2" i="1"/>
  <c r="D3" i="1" s="1"/>
  <c r="C4" i="1"/>
  <c r="C11" i="1" s="1"/>
  <c r="B4" i="1"/>
  <c r="B8" i="1" s="1"/>
  <c r="D12" i="1" l="1"/>
  <c r="D16" i="1" s="1"/>
  <c r="D11" i="1"/>
  <c r="B16" i="1"/>
  <c r="C16" i="1"/>
  <c r="D4" i="1"/>
  <c r="B5" i="1"/>
  <c r="C5" i="1"/>
  <c r="C8" i="1"/>
  <c r="D8" i="1" s="1"/>
  <c r="D5" i="1" l="1"/>
</calcChain>
</file>

<file path=xl/sharedStrings.xml><?xml version="1.0" encoding="utf-8"?>
<sst xmlns="http://schemas.openxmlformats.org/spreadsheetml/2006/main" count="16" uniqueCount="16">
  <si>
    <t>tourist part</t>
  </si>
  <si>
    <t>vehicles</t>
  </si>
  <si>
    <t>AVG distance per vehicle</t>
  </si>
  <si>
    <t>total distance</t>
  </si>
  <si>
    <t>local pop part</t>
  </si>
  <si>
    <t>total</t>
  </si>
  <si>
    <t>modified vehicles</t>
  </si>
  <si>
    <t>parking area additional</t>
  </si>
  <si>
    <t>AVG distance per vehicle PAA</t>
  </si>
  <si>
    <t>total distance MV</t>
  </si>
  <si>
    <t>total distance MV + PAA</t>
  </si>
  <si>
    <t>MOVE MOBILITY AC charging rate</t>
  </si>
  <si>
    <t>total cost per day</t>
  </si>
  <si>
    <t>total cost per day MV + PPA</t>
  </si>
  <si>
    <t>total cost off-season MV + PPA</t>
  </si>
  <si>
    <t>total cost off-season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</si>
</sst>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km&quot;"/>
    <numFmt numFmtId="165" formatCode="0.00&quot; m&quot;"/>
    <numFmt numFmtId="166" formatCode="[$CHF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164" fontId="0" fillId="0" borderId="3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166" fontId="0" fillId="0" borderId="0" xfId="0" applyNumberFormat="1"/>
    <xf numFmtId="166" fontId="0" fillId="0" borderId="1" xfId="0" applyNumberFormat="1" applyBorder="1"/>
    <xf numFmtId="166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47D-E87E-476A-AE60-8E85FD0AD63D}">
  <dimension ref="A1:D19"/>
  <sheetViews>
    <sheetView tabSelected="1" workbookViewId="0">
      <selection activeCell="C24" sqref="C24"/>
    </sheetView>
  </sheetViews>
  <sheetFormatPr baseColWidth="10" defaultRowHeight="15" x14ac:dyDescent="0.25"/>
  <cols>
    <col min="1" max="1" width="29.85546875" bestFit="1" customWidth="1"/>
    <col min="2" max="2" width="15.28515625" bestFit="1" customWidth="1"/>
    <col min="3" max="3" width="16.42578125" bestFit="1" customWidth="1"/>
    <col min="4" max="4" width="15.28515625" bestFit="1" customWidth="1"/>
  </cols>
  <sheetData>
    <row r="1" spans="1:4" x14ac:dyDescent="0.25">
      <c r="B1" t="s">
        <v>0</v>
      </c>
      <c r="C1" s="6" t="s">
        <v>4</v>
      </c>
      <c r="D1" t="s">
        <v>5</v>
      </c>
    </row>
    <row r="2" spans="1:4" x14ac:dyDescent="0.25">
      <c r="A2" s="3" t="s">
        <v>1</v>
      </c>
      <c r="B2">
        <v>96</v>
      </c>
      <c r="C2" s="6">
        <v>164</v>
      </c>
      <c r="D2">
        <f>B2+C2</f>
        <v>260</v>
      </c>
    </row>
    <row r="3" spans="1:4" x14ac:dyDescent="0.25">
      <c r="A3" s="17" t="s">
        <v>2</v>
      </c>
      <c r="B3" s="4">
        <v>112985.34</v>
      </c>
      <c r="C3" s="7">
        <v>135306.75</v>
      </c>
      <c r="D3" s="4">
        <f>(B2*B3+C2*C3)/D2</f>
        <v>127064.99861538461</v>
      </c>
    </row>
    <row r="4" spans="1:4" x14ac:dyDescent="0.25">
      <c r="A4" s="18"/>
      <c r="B4" s="5">
        <f>B3/1000</f>
        <v>112.98533999999999</v>
      </c>
      <c r="C4" s="8">
        <f>C3/1000</f>
        <v>135.30674999999999</v>
      </c>
      <c r="D4">
        <f>(B2*B4+C2*C4)/D2</f>
        <v>127.06499861538462</v>
      </c>
    </row>
    <row r="5" spans="1:4" x14ac:dyDescent="0.25">
      <c r="A5" s="1" t="s">
        <v>3</v>
      </c>
      <c r="B5" s="2">
        <f>B2*B4</f>
        <v>10846.592639999999</v>
      </c>
      <c r="C5" s="10">
        <f>C2*C4</f>
        <v>22190.307000000001</v>
      </c>
      <c r="D5" s="2">
        <f>B5+C5</f>
        <v>33036.899640000003</v>
      </c>
    </row>
    <row r="7" spans="1:4" x14ac:dyDescent="0.25">
      <c r="A7" s="11" t="s">
        <v>6</v>
      </c>
      <c r="B7" s="12">
        <v>101</v>
      </c>
      <c r="C7" s="13">
        <v>172</v>
      </c>
      <c r="D7">
        <f>B7+C7</f>
        <v>273</v>
      </c>
    </row>
    <row r="8" spans="1:4" x14ac:dyDescent="0.25">
      <c r="A8" s="1" t="s">
        <v>9</v>
      </c>
      <c r="B8" s="2">
        <f>B7*B4</f>
        <v>11411.519339999999</v>
      </c>
      <c r="C8" s="10">
        <f>C7*C4</f>
        <v>23272.760999999999</v>
      </c>
      <c r="D8" s="2">
        <f>B8+C8</f>
        <v>34684.280339999998</v>
      </c>
    </row>
    <row r="10" spans="1:4" x14ac:dyDescent="0.25">
      <c r="A10" s="1" t="s">
        <v>7</v>
      </c>
      <c r="B10" s="2">
        <v>14</v>
      </c>
      <c r="C10" s="9">
        <v>14</v>
      </c>
    </row>
    <row r="11" spans="1:4" x14ac:dyDescent="0.25">
      <c r="A11" s="11" t="s">
        <v>8</v>
      </c>
      <c r="B11" s="5">
        <f>B4+B10</f>
        <v>126.98533999999999</v>
      </c>
      <c r="C11" s="8">
        <f>C4+C10</f>
        <v>149.30674999999999</v>
      </c>
      <c r="D11" s="2">
        <f>(B7*B11+C7*C11)/D7</f>
        <v>141.04864593406592</v>
      </c>
    </row>
    <row r="12" spans="1:4" x14ac:dyDescent="0.25">
      <c r="A12" s="1" t="s">
        <v>10</v>
      </c>
      <c r="B12" s="2">
        <f>B7*B11</f>
        <v>12825.519339999999</v>
      </c>
      <c r="C12" s="10">
        <f>C7*C11</f>
        <v>25680.760999999999</v>
      </c>
      <c r="D12" s="2">
        <f>B12+C12</f>
        <v>38506.280339999998</v>
      </c>
    </row>
    <row r="14" spans="1:4" x14ac:dyDescent="0.25">
      <c r="A14" s="11" t="s">
        <v>11</v>
      </c>
      <c r="B14" s="15">
        <v>0.46</v>
      </c>
      <c r="C14" s="16">
        <v>0.46</v>
      </c>
      <c r="D14" s="15"/>
    </row>
    <row r="15" spans="1:4" x14ac:dyDescent="0.25">
      <c r="A15" s="1" t="s">
        <v>13</v>
      </c>
      <c r="B15" s="14">
        <f>B14*(B12/400*76)</f>
        <v>1120.950390316</v>
      </c>
      <c r="C15" s="14">
        <f>C14*(C12/400*76)</f>
        <v>2244.4985114000006</v>
      </c>
      <c r="D15" s="14">
        <f>B15+C15</f>
        <v>3365.4489017160004</v>
      </c>
    </row>
    <row r="16" spans="1:4" x14ac:dyDescent="0.25">
      <c r="A16" s="1" t="s">
        <v>14</v>
      </c>
      <c r="B16" s="14">
        <f>B15*90</f>
        <v>100885.53512844001</v>
      </c>
      <c r="C16" s="14">
        <f>C15*90</f>
        <v>202004.86602600006</v>
      </c>
      <c r="D16" s="14">
        <f>D15*90</f>
        <v>302890.40115444001</v>
      </c>
    </row>
    <row r="18" spans="1:4" x14ac:dyDescent="0.25">
      <c r="A18" s="1" t="s">
        <v>12</v>
      </c>
      <c r="B18" s="14">
        <f>B14*(B5/400*76)</f>
        <v>947.99219673599987</v>
      </c>
      <c r="C18" s="14">
        <f>C14*(C5/400*76)</f>
        <v>1939.4328318000003</v>
      </c>
      <c r="D18" s="14">
        <f>B18+C18</f>
        <v>2887.4250285360004</v>
      </c>
    </row>
    <row r="19" spans="1:4" x14ac:dyDescent="0.25">
      <c r="A19" s="1" t="s">
        <v>15</v>
      </c>
      <c r="B19" s="14">
        <f>B18*90</f>
        <v>85319.297706239988</v>
      </c>
      <c r="C19" s="14">
        <f>C18*90</f>
        <v>174548.95486200001</v>
      </c>
      <c r="D19" s="14">
        <f>B19+C19</f>
        <v>259868.25256823999</v>
      </c>
    </row>
  </sheetData>
  <mergeCells count="1">
    <mergeCell ref="A3:A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2026-06-09T05:10:49Z</dcterms:created>
  <dcterms:modified xsi:type="dcterms:W3CDTF">2026-06-11T19:11:37Z</dcterms:modified>
</cp:coreProperties>
</file>