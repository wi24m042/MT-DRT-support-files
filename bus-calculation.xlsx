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29fc23a191b0aa/Dokumente/Uni/HSLU/Master Thesis/"/>
    </mc:Choice>
  </mc:AlternateContent>
  <xr:revisionPtr revIDLastSave="10" documentId="8_{834860CD-9183-4DD7-B0B1-975A1F3A9789}" xr6:coauthVersionLast="47" xr6:coauthVersionMax="47" xr10:uidLastSave="{A88C81B0-91F3-4F77-8837-A9440BCCE4DE}"/>
  <bookViews>
    <workbookView xWindow="38280" yWindow="-120" windowWidth="38640" windowHeight="21120" activeTab="2" xr2:uid="{C3760531-E8D7-4093-9C77-D3A10A55BA34}"/>
  </bookViews>
  <sheets>
    <sheet name="Overview" sheetId="1" r:id="rId1"/>
    <sheet name="Citaro 2020" sheetId="4" r:id="rId2"/>
    <sheet name="Citaro 2015" sheetId="5" r:id="rId3"/>
    <sheet name="Crossway 2021" sheetId="2" r:id="rId4"/>
    <sheet name="Crossway 2019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5" i="1" l="1"/>
  <c r="F25" i="1"/>
  <c r="H22" i="1"/>
  <c r="F22" i="1"/>
  <c r="H16" i="1"/>
  <c r="H3" i="1"/>
  <c r="H4" i="1"/>
  <c r="H5" i="1"/>
  <c r="H6" i="1"/>
  <c r="H7" i="1"/>
  <c r="H8" i="1"/>
  <c r="H9" i="1"/>
  <c r="H10" i="1"/>
  <c r="H11" i="1"/>
  <c r="H12" i="1"/>
  <c r="H13" i="1"/>
  <c r="H2" i="1"/>
  <c r="F2" i="1"/>
  <c r="D2" i="1"/>
  <c r="D3" i="1"/>
  <c r="D4" i="1"/>
  <c r="D5" i="1"/>
  <c r="D6" i="1"/>
  <c r="D7" i="1"/>
  <c r="D8" i="1"/>
  <c r="D9" i="1"/>
  <c r="D10" i="1"/>
  <c r="D11" i="1"/>
  <c r="D16" i="1" s="1"/>
  <c r="D12" i="1"/>
  <c r="F12" i="1" s="1"/>
  <c r="D13" i="1"/>
  <c r="S83" i="5"/>
  <c r="S43" i="5"/>
  <c r="G91" i="4"/>
  <c r="I97" i="5"/>
  <c r="Q2" i="5"/>
  <c r="Q3" i="5"/>
  <c r="Q4" i="5"/>
  <c r="Q5" i="5"/>
  <c r="Q6" i="5"/>
  <c r="Q7" i="5"/>
  <c r="Q8" i="5"/>
  <c r="Q9" i="5"/>
  <c r="Q10" i="5"/>
  <c r="Q11" i="5"/>
  <c r="Q12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K166" i="5"/>
  <c r="K164" i="5"/>
  <c r="P170" i="5"/>
  <c r="P168" i="5"/>
  <c r="P166" i="5"/>
  <c r="P164" i="5"/>
  <c r="N170" i="5"/>
  <c r="N168" i="5"/>
  <c r="N166" i="5"/>
  <c r="N164" i="5"/>
  <c r="A401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2" i="5"/>
  <c r="F405" i="5"/>
  <c r="F403" i="5"/>
  <c r="F401" i="5"/>
  <c r="F399" i="5"/>
  <c r="D405" i="5"/>
  <c r="D403" i="5"/>
  <c r="D401" i="5"/>
  <c r="A399" i="5"/>
  <c r="D399" i="5"/>
  <c r="E284" i="5"/>
  <c r="E2" i="5"/>
  <c r="E3" i="5"/>
  <c r="O3" i="5"/>
  <c r="E4" i="5"/>
  <c r="E5" i="5"/>
  <c r="O4" i="5"/>
  <c r="E6" i="5"/>
  <c r="E7" i="5"/>
  <c r="O5" i="5"/>
  <c r="O166" i="5" s="1"/>
  <c r="E8" i="5"/>
  <c r="E9" i="5"/>
  <c r="E10" i="5"/>
  <c r="O6" i="5"/>
  <c r="E11" i="5"/>
  <c r="E12" i="5"/>
  <c r="O7" i="5"/>
  <c r="E13" i="5"/>
  <c r="E14" i="5"/>
  <c r="E15" i="5"/>
  <c r="O8" i="5"/>
  <c r="E16" i="5"/>
  <c r="E17" i="5"/>
  <c r="E18" i="5"/>
  <c r="O9" i="5"/>
  <c r="E19" i="5"/>
  <c r="E20" i="5"/>
  <c r="E21" i="5"/>
  <c r="E22" i="5"/>
  <c r="O10" i="5"/>
  <c r="E23" i="5"/>
  <c r="E24" i="5"/>
  <c r="E25" i="5"/>
  <c r="E26" i="5"/>
  <c r="O11" i="5"/>
  <c r="E27" i="5"/>
  <c r="E28" i="5"/>
  <c r="E29" i="5"/>
  <c r="E30" i="5"/>
  <c r="E31" i="5"/>
  <c r="E32" i="5"/>
  <c r="O12" i="5"/>
  <c r="E33" i="5"/>
  <c r="E34" i="5"/>
  <c r="O13" i="5"/>
  <c r="E35" i="5"/>
  <c r="O14" i="5"/>
  <c r="E36" i="5"/>
  <c r="O15" i="5"/>
  <c r="E37" i="5"/>
  <c r="E38" i="5"/>
  <c r="O16" i="5"/>
  <c r="E39" i="5"/>
  <c r="E40" i="5"/>
  <c r="O17" i="5"/>
  <c r="E41" i="5"/>
  <c r="E42" i="5"/>
  <c r="E43" i="5"/>
  <c r="E44" i="5"/>
  <c r="O18" i="5"/>
  <c r="E45" i="5"/>
  <c r="E46" i="5"/>
  <c r="O19" i="5"/>
  <c r="E47" i="5"/>
  <c r="E48" i="5"/>
  <c r="O20" i="5"/>
  <c r="E49" i="5"/>
  <c r="E50" i="5"/>
  <c r="O21" i="5"/>
  <c r="E51" i="5"/>
  <c r="E52" i="5"/>
  <c r="O22" i="5"/>
  <c r="E53" i="5"/>
  <c r="E54" i="5"/>
  <c r="O23" i="5"/>
  <c r="E55" i="5"/>
  <c r="E56" i="5"/>
  <c r="E57" i="5"/>
  <c r="O24" i="5"/>
  <c r="E58" i="5"/>
  <c r="O25" i="5"/>
  <c r="E59" i="5"/>
  <c r="E60" i="5"/>
  <c r="O26" i="5"/>
  <c r="E61" i="5"/>
  <c r="E62" i="5"/>
  <c r="O27" i="5"/>
  <c r="E63" i="5"/>
  <c r="O28" i="5"/>
  <c r="E64" i="5"/>
  <c r="E65" i="5"/>
  <c r="O29" i="5"/>
  <c r="E66" i="5"/>
  <c r="E67" i="5"/>
  <c r="O30" i="5"/>
  <c r="E68" i="5"/>
  <c r="E69" i="5"/>
  <c r="E70" i="5"/>
  <c r="E71" i="5"/>
  <c r="O31" i="5"/>
  <c r="E72" i="5"/>
  <c r="E73" i="5"/>
  <c r="O32" i="5"/>
  <c r="E74" i="5"/>
  <c r="E75" i="5"/>
  <c r="O33" i="5"/>
  <c r="E76" i="5"/>
  <c r="E77" i="5"/>
  <c r="O34" i="5"/>
  <c r="E78" i="5"/>
  <c r="E79" i="5"/>
  <c r="O35" i="5"/>
  <c r="E80" i="5"/>
  <c r="E81" i="5"/>
  <c r="O36" i="5"/>
  <c r="E82" i="5"/>
  <c r="E83" i="5"/>
  <c r="O37" i="5"/>
  <c r="E84" i="5"/>
  <c r="E85" i="5"/>
  <c r="O38" i="5"/>
  <c r="E86" i="5"/>
  <c r="E87" i="5"/>
  <c r="E88" i="5"/>
  <c r="O39" i="5"/>
  <c r="E89" i="5"/>
  <c r="E90" i="5"/>
  <c r="O40" i="5"/>
  <c r="E91" i="5"/>
  <c r="E92" i="5"/>
  <c r="O41" i="5"/>
  <c r="E93" i="5"/>
  <c r="E94" i="5"/>
  <c r="O42" i="5"/>
  <c r="E95" i="5"/>
  <c r="E96" i="5"/>
  <c r="O43" i="5"/>
  <c r="E97" i="5"/>
  <c r="E98" i="5"/>
  <c r="O44" i="5"/>
  <c r="E99" i="5"/>
  <c r="E100" i="5"/>
  <c r="E101" i="5"/>
  <c r="O45" i="5"/>
  <c r="E102" i="5"/>
  <c r="E103" i="5"/>
  <c r="E104" i="5"/>
  <c r="E105" i="5"/>
  <c r="E106" i="5"/>
  <c r="E107" i="5"/>
  <c r="O46" i="5"/>
  <c r="E108" i="5"/>
  <c r="E109" i="5"/>
  <c r="O47" i="5"/>
  <c r="E110" i="5"/>
  <c r="E111" i="5"/>
  <c r="E112" i="5"/>
  <c r="E113" i="5"/>
  <c r="O48" i="5"/>
  <c r="E114" i="5"/>
  <c r="E115" i="5"/>
  <c r="O49" i="5"/>
  <c r="E116" i="5"/>
  <c r="O50" i="5"/>
  <c r="E117" i="5"/>
  <c r="E118" i="5"/>
  <c r="O51" i="5"/>
  <c r="E119" i="5"/>
  <c r="E120" i="5"/>
  <c r="O52" i="5"/>
  <c r="E121" i="5"/>
  <c r="E122" i="5"/>
  <c r="E123" i="5"/>
  <c r="E124" i="5"/>
  <c r="E125" i="5"/>
  <c r="O53" i="5"/>
  <c r="E126" i="5"/>
  <c r="E127" i="5"/>
  <c r="E128" i="5"/>
  <c r="E129" i="5"/>
  <c r="O54" i="5"/>
  <c r="E130" i="5"/>
  <c r="E131" i="5"/>
  <c r="E132" i="5"/>
  <c r="E133" i="5"/>
  <c r="O55" i="5"/>
  <c r="E134" i="5"/>
  <c r="E135" i="5"/>
  <c r="O56" i="5"/>
  <c r="E136" i="5"/>
  <c r="E137" i="5"/>
  <c r="O57" i="5"/>
  <c r="E138" i="5"/>
  <c r="E139" i="5"/>
  <c r="O58" i="5"/>
  <c r="E140" i="5"/>
  <c r="E141" i="5"/>
  <c r="E142" i="5"/>
  <c r="E143" i="5"/>
  <c r="O59" i="5"/>
  <c r="E144" i="5"/>
  <c r="E145" i="5"/>
  <c r="O60" i="5"/>
  <c r="E146" i="5"/>
  <c r="E147" i="5"/>
  <c r="O61" i="5"/>
  <c r="E148" i="5"/>
  <c r="E149" i="5"/>
  <c r="O62" i="5"/>
  <c r="E150" i="5"/>
  <c r="E151" i="5"/>
  <c r="E152" i="5"/>
  <c r="E153" i="5"/>
  <c r="O63" i="5"/>
  <c r="E154" i="5"/>
  <c r="E155" i="5"/>
  <c r="E156" i="5"/>
  <c r="E157" i="5"/>
  <c r="E158" i="5"/>
  <c r="O64" i="5"/>
  <c r="E159" i="5"/>
  <c r="E160" i="5"/>
  <c r="E161" i="5"/>
  <c r="E162" i="5"/>
  <c r="O65" i="5"/>
  <c r="E163" i="5"/>
  <c r="O66" i="5"/>
  <c r="E164" i="5"/>
  <c r="E165" i="5"/>
  <c r="E166" i="5"/>
  <c r="O67" i="5"/>
  <c r="E167" i="5"/>
  <c r="O68" i="5"/>
  <c r="E168" i="5"/>
  <c r="E169" i="5"/>
  <c r="O69" i="5"/>
  <c r="E170" i="5"/>
  <c r="E171" i="5"/>
  <c r="O70" i="5"/>
  <c r="E172" i="5"/>
  <c r="E173" i="5"/>
  <c r="O71" i="5"/>
  <c r="E174" i="5"/>
  <c r="E175" i="5"/>
  <c r="O72" i="5"/>
  <c r="E176" i="5"/>
  <c r="E177" i="5"/>
  <c r="O73" i="5"/>
  <c r="E178" i="5"/>
  <c r="E179" i="5"/>
  <c r="O74" i="5"/>
  <c r="E180" i="5"/>
  <c r="E181" i="5"/>
  <c r="O75" i="5"/>
  <c r="E182" i="5"/>
  <c r="E183" i="5"/>
  <c r="O76" i="5"/>
  <c r="E184" i="5"/>
  <c r="E185" i="5"/>
  <c r="O77" i="5"/>
  <c r="E186" i="5"/>
  <c r="E187" i="5"/>
  <c r="O78" i="5"/>
  <c r="E188" i="5"/>
  <c r="E189" i="5"/>
  <c r="E190" i="5"/>
  <c r="E191" i="5"/>
  <c r="O79" i="5"/>
  <c r="E192" i="5"/>
  <c r="E193" i="5"/>
  <c r="O80" i="5"/>
  <c r="E194" i="5"/>
  <c r="O81" i="5"/>
  <c r="E195" i="5"/>
  <c r="E196" i="5"/>
  <c r="E197" i="5"/>
  <c r="E198" i="5"/>
  <c r="O82" i="5"/>
  <c r="E199" i="5"/>
  <c r="E200" i="5"/>
  <c r="E201" i="5"/>
  <c r="O83" i="5"/>
  <c r="E202" i="5"/>
  <c r="E203" i="5"/>
  <c r="E204" i="5"/>
  <c r="E205" i="5"/>
  <c r="O84" i="5"/>
  <c r="E206" i="5"/>
  <c r="E207" i="5"/>
  <c r="E208" i="5"/>
  <c r="E209" i="5"/>
  <c r="E210" i="5"/>
  <c r="E211" i="5"/>
  <c r="E212" i="5"/>
  <c r="O85" i="5"/>
  <c r="E213" i="5"/>
  <c r="E214" i="5"/>
  <c r="E215" i="5"/>
  <c r="O86" i="5"/>
  <c r="E216" i="5"/>
  <c r="E217" i="5"/>
  <c r="O87" i="5"/>
  <c r="E218" i="5"/>
  <c r="E219" i="5"/>
  <c r="O88" i="5"/>
  <c r="E220" i="5"/>
  <c r="E221" i="5"/>
  <c r="O89" i="5"/>
  <c r="E222" i="5"/>
  <c r="E223" i="5"/>
  <c r="O90" i="5"/>
  <c r="E224" i="5"/>
  <c r="E225" i="5"/>
  <c r="O91" i="5"/>
  <c r="E226" i="5"/>
  <c r="E227" i="5"/>
  <c r="O92" i="5"/>
  <c r="E228" i="5"/>
  <c r="E229" i="5"/>
  <c r="E230" i="5"/>
  <c r="E231" i="5"/>
  <c r="O93" i="5"/>
  <c r="E232" i="5"/>
  <c r="E233" i="5"/>
  <c r="E234" i="5"/>
  <c r="E235" i="5"/>
  <c r="O94" i="5"/>
  <c r="E236" i="5"/>
  <c r="E237" i="5"/>
  <c r="O95" i="5"/>
  <c r="E238" i="5"/>
  <c r="E239" i="5"/>
  <c r="E240" i="5"/>
  <c r="O96" i="5"/>
  <c r="E241" i="5"/>
  <c r="O97" i="5"/>
  <c r="E242" i="5"/>
  <c r="E243" i="5"/>
  <c r="O98" i="5"/>
  <c r="E244" i="5"/>
  <c r="E245" i="5"/>
  <c r="E246" i="5"/>
  <c r="O99" i="5"/>
  <c r="E247" i="5"/>
  <c r="E248" i="5"/>
  <c r="O100" i="5"/>
  <c r="E249" i="5"/>
  <c r="E250" i="5"/>
  <c r="O101" i="5"/>
  <c r="E251" i="5"/>
  <c r="E252" i="5"/>
  <c r="O102" i="5"/>
  <c r="E253" i="5"/>
  <c r="E254" i="5"/>
  <c r="O103" i="5"/>
  <c r="E255" i="5"/>
  <c r="E256" i="5"/>
  <c r="O104" i="5"/>
  <c r="E257" i="5"/>
  <c r="E258" i="5"/>
  <c r="O105" i="5"/>
  <c r="E259" i="5"/>
  <c r="E260" i="5"/>
  <c r="E261" i="5"/>
  <c r="E262" i="5"/>
  <c r="O106" i="5"/>
  <c r="E263" i="5"/>
  <c r="E264" i="5"/>
  <c r="O107" i="5"/>
  <c r="E265" i="5"/>
  <c r="E266" i="5"/>
  <c r="O108" i="5"/>
  <c r="E267" i="5"/>
  <c r="E268" i="5"/>
  <c r="O109" i="5"/>
  <c r="E269" i="5"/>
  <c r="E270" i="5"/>
  <c r="E271" i="5"/>
  <c r="E272" i="5"/>
  <c r="O110" i="5"/>
  <c r="E273" i="5"/>
  <c r="E274" i="5"/>
  <c r="E275" i="5"/>
  <c r="O111" i="5"/>
  <c r="E276" i="5"/>
  <c r="O112" i="5"/>
  <c r="E277" i="5"/>
  <c r="E278" i="5"/>
  <c r="O113" i="5"/>
  <c r="E279" i="5"/>
  <c r="E280" i="5"/>
  <c r="O114" i="5"/>
  <c r="E281" i="5"/>
  <c r="E282" i="5"/>
  <c r="O115" i="5"/>
  <c r="E283" i="5"/>
  <c r="O116" i="5"/>
  <c r="E285" i="5"/>
  <c r="E286" i="5"/>
  <c r="O117" i="5"/>
  <c r="E287" i="5"/>
  <c r="E288" i="5"/>
  <c r="E289" i="5"/>
  <c r="O118" i="5"/>
  <c r="E290" i="5"/>
  <c r="E291" i="5"/>
  <c r="O119" i="5"/>
  <c r="E292" i="5"/>
  <c r="E293" i="5"/>
  <c r="O120" i="5"/>
  <c r="E294" i="5"/>
  <c r="E295" i="5"/>
  <c r="E296" i="5"/>
  <c r="E297" i="5"/>
  <c r="O121" i="5"/>
  <c r="E298" i="5"/>
  <c r="E299" i="5"/>
  <c r="O122" i="5"/>
  <c r="E300" i="5"/>
  <c r="E301" i="5"/>
  <c r="O123" i="5"/>
  <c r="E302" i="5"/>
  <c r="E303" i="5"/>
  <c r="O124" i="5"/>
  <c r="E304" i="5"/>
  <c r="E305" i="5"/>
  <c r="O125" i="5"/>
  <c r="E306" i="5"/>
  <c r="E307" i="5"/>
  <c r="O126" i="5"/>
  <c r="E308" i="5"/>
  <c r="E309" i="5"/>
  <c r="O127" i="5"/>
  <c r="E310" i="5"/>
  <c r="E311" i="5"/>
  <c r="O128" i="5"/>
  <c r="E312" i="5"/>
  <c r="E313" i="5"/>
  <c r="E314" i="5"/>
  <c r="E315" i="5"/>
  <c r="O129" i="5"/>
  <c r="E316" i="5"/>
  <c r="E317" i="5"/>
  <c r="O130" i="5"/>
  <c r="E318" i="5"/>
  <c r="O131" i="5"/>
  <c r="E319" i="5"/>
  <c r="E320" i="5"/>
  <c r="E321" i="5"/>
  <c r="O132" i="5"/>
  <c r="E322" i="5"/>
  <c r="O133" i="5"/>
  <c r="E323" i="5"/>
  <c r="E324" i="5"/>
  <c r="O134" i="5"/>
  <c r="E325" i="5"/>
  <c r="E326" i="5"/>
  <c r="O135" i="5"/>
  <c r="E327" i="5"/>
  <c r="O136" i="5"/>
  <c r="E328" i="5"/>
  <c r="E329" i="5"/>
  <c r="E330" i="5"/>
  <c r="O137" i="5"/>
  <c r="E331" i="5"/>
  <c r="E332" i="5"/>
  <c r="O138" i="5"/>
  <c r="E333" i="5"/>
  <c r="E334" i="5"/>
  <c r="O139" i="5"/>
  <c r="E335" i="5"/>
  <c r="E336" i="5"/>
  <c r="E337" i="5"/>
  <c r="E338" i="5"/>
  <c r="O140" i="5"/>
  <c r="E339" i="5"/>
  <c r="E340" i="5"/>
  <c r="O141" i="5"/>
  <c r="E341" i="5"/>
  <c r="E342" i="5"/>
  <c r="E343" i="5"/>
  <c r="O142" i="5"/>
  <c r="E344" i="5"/>
  <c r="E345" i="5"/>
  <c r="E346" i="5"/>
  <c r="O143" i="5"/>
  <c r="E347" i="5"/>
  <c r="E348" i="5"/>
  <c r="O144" i="5"/>
  <c r="E349" i="5"/>
  <c r="E350" i="5"/>
  <c r="O145" i="5"/>
  <c r="E351" i="5"/>
  <c r="E352" i="5"/>
  <c r="E353" i="5"/>
  <c r="O146" i="5"/>
  <c r="E354" i="5"/>
  <c r="E355" i="5"/>
  <c r="E356" i="5"/>
  <c r="O147" i="5"/>
  <c r="E357" i="5"/>
  <c r="E358" i="5"/>
  <c r="O148" i="5"/>
  <c r="E359" i="5"/>
  <c r="E360" i="5"/>
  <c r="O149" i="5"/>
  <c r="E361" i="5"/>
  <c r="O150" i="5"/>
  <c r="E362" i="5"/>
  <c r="E363" i="5"/>
  <c r="E364" i="5"/>
  <c r="O151" i="5"/>
  <c r="E365" i="5"/>
  <c r="E366" i="5"/>
  <c r="E367" i="5"/>
  <c r="O152" i="5"/>
  <c r="E368" i="5"/>
  <c r="E369" i="5"/>
  <c r="O153" i="5"/>
  <c r="E370" i="5"/>
  <c r="E371" i="5"/>
  <c r="E372" i="5"/>
  <c r="E373" i="5"/>
  <c r="O154" i="5"/>
  <c r="E374" i="5"/>
  <c r="E375" i="5"/>
  <c r="O155" i="5"/>
  <c r="E376" i="5"/>
  <c r="E377" i="5"/>
  <c r="E378" i="5"/>
  <c r="E379" i="5"/>
  <c r="O156" i="5"/>
  <c r="E380" i="5"/>
  <c r="E381" i="5"/>
  <c r="O157" i="5"/>
  <c r="E382" i="5"/>
  <c r="E383" i="5"/>
  <c r="E384" i="5"/>
  <c r="E385" i="5"/>
  <c r="O158" i="5"/>
  <c r="E386" i="5"/>
  <c r="E387" i="5"/>
  <c r="O159" i="5"/>
  <c r="E388" i="5"/>
  <c r="E389" i="5"/>
  <c r="E390" i="5"/>
  <c r="E391" i="5"/>
  <c r="O160" i="5"/>
  <c r="E392" i="5"/>
  <c r="E393" i="5"/>
  <c r="O161" i="5"/>
  <c r="E394" i="5"/>
  <c r="E395" i="5"/>
  <c r="E396" i="5"/>
  <c r="O2" i="5"/>
  <c r="E101" i="4"/>
  <c r="D101" i="4"/>
  <c r="E99" i="4"/>
  <c r="D99" i="4"/>
  <c r="B99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8" i="3"/>
  <c r="I115" i="2"/>
  <c r="I112" i="2"/>
  <c r="I43" i="2"/>
  <c r="I40" i="2"/>
  <c r="A213" i="2"/>
  <c r="E219" i="2"/>
  <c r="D219" i="2"/>
  <c r="E217" i="2"/>
  <c r="D217" i="2"/>
  <c r="A215" i="2"/>
  <c r="B13" i="3"/>
  <c r="F9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" i="2"/>
  <c r="E15" i="3"/>
  <c r="E13" i="3"/>
  <c r="E3" i="3"/>
  <c r="E4" i="3"/>
  <c r="E5" i="3"/>
  <c r="E6" i="3"/>
  <c r="E7" i="3"/>
  <c r="E9" i="3"/>
  <c r="E10" i="3"/>
  <c r="E2" i="3"/>
  <c r="D15" i="3"/>
  <c r="D13" i="3"/>
  <c r="E215" i="2"/>
  <c r="E213" i="2"/>
  <c r="D215" i="2"/>
  <c r="D213" i="2"/>
  <c r="F13" i="1"/>
  <c r="F4" i="1"/>
  <c r="F5" i="1"/>
  <c r="F6" i="1"/>
  <c r="F10" i="1"/>
  <c r="F7" i="1"/>
  <c r="F3" i="1"/>
  <c r="F8" i="1"/>
  <c r="F9" i="1"/>
  <c r="F11" i="1" l="1"/>
  <c r="F16" i="1" s="1"/>
  <c r="O170" i="5"/>
  <c r="O164" i="5"/>
  <c r="Q170" i="5"/>
  <c r="O168" i="5"/>
  <c r="Q164" i="5"/>
  <c r="Q166" i="5"/>
  <c r="Q168" i="5"/>
  <c r="G405" i="5"/>
  <c r="E399" i="5"/>
  <c r="E401" i="5"/>
  <c r="E403" i="5"/>
  <c r="E405" i="5"/>
  <c r="G399" i="5"/>
  <c r="G401" i="5"/>
  <c r="G403" i="5"/>
  <c r="G215" i="2"/>
  <c r="F219" i="2"/>
  <c r="G219" i="2"/>
  <c r="G213" i="2"/>
  <c r="F213" i="2"/>
  <c r="F215" i="2"/>
  <c r="G217" i="2"/>
  <c r="F217" i="2"/>
</calcChain>
</file>

<file path=xl/sharedStrings.xml><?xml version="1.0" encoding="utf-8"?>
<sst xmlns="http://schemas.openxmlformats.org/spreadsheetml/2006/main" count="89" uniqueCount="45">
  <si>
    <t>90.601</t>
  </si>
  <si>
    <t>90.602</t>
  </si>
  <si>
    <t>bus line</t>
  </si>
  <si>
    <t>round trips</t>
  </si>
  <si>
    <t>90.603</t>
  </si>
  <si>
    <t>90.605</t>
  </si>
  <si>
    <t>90.606</t>
  </si>
  <si>
    <t>90.609</t>
  </si>
  <si>
    <t>90.610</t>
  </si>
  <si>
    <t>90.613</t>
  </si>
  <si>
    <t>90.624</t>
  </si>
  <si>
    <t>kilometers driven per day</t>
  </si>
  <si>
    <t>90.604 long</t>
  </si>
  <si>
    <t>90.604 short</t>
  </si>
  <si>
    <t>90.182</t>
  </si>
  <si>
    <t>date</t>
  </si>
  <si>
    <t>distance</t>
  </si>
  <si>
    <t>liters</t>
  </si>
  <si>
    <t>liters per 100 km from the website</t>
  </si>
  <si>
    <t>liters per 100 km formular</t>
  </si>
  <si>
    <t>Average</t>
  </si>
  <si>
    <t>Median</t>
  </si>
  <si>
    <t>liters per 100 km from the website no outliers</t>
  </si>
  <si>
    <t>liters per 100 km formular no outliers</t>
  </si>
  <si>
    <t>total distance</t>
  </si>
  <si>
    <t>fule consumption</t>
  </si>
  <si>
    <t>Minimum</t>
  </si>
  <si>
    <t>distance without outliers</t>
  </si>
  <si>
    <t xml:space="preserve">distance </t>
  </si>
  <si>
    <t>AVG</t>
  </si>
  <si>
    <t>Maximum</t>
  </si>
  <si>
    <t>distance between stations in the final study area</t>
  </si>
  <si>
    <t>assumed fuel consumption per 100 km</t>
  </si>
  <si>
    <t>fuel consumption</t>
  </si>
  <si>
    <t>adblue consumption</t>
  </si>
  <si>
    <t>assumed adblue consumption per 100 km</t>
  </si>
  <si>
    <t>total fuel consumption</t>
  </si>
  <si>
    <t>total adblue consumption</t>
  </si>
  <si>
    <t>fuel price per liter</t>
  </si>
  <si>
    <t>total fuel cost</t>
  </si>
  <si>
    <t>adblue price per liter</t>
  </si>
  <si>
    <t>total adblue cost</t>
  </si>
  <si>
    <t>off season days</t>
  </si>
  <si>
    <t>total fuel cost off season</t>
  </si>
  <si>
    <t>total adblue cost off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</si>
</sst>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&quot; km&quot;"/>
    <numFmt numFmtId="165" formatCode="0.00&quot; l&quot;"/>
    <numFmt numFmtId="166" formatCode="0.00&quot; l/100km&quot;"/>
    <numFmt numFmtId="167" formatCode="0.00&quot; CHF&quot;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164" fontId="0" fillId="0" borderId="2" xfId="0" applyNumberFormat="1" applyBorder="1"/>
    <xf numFmtId="0" fontId="0" fillId="0" borderId="2" xfId="0" applyBorder="1"/>
    <xf numFmtId="14" fontId="0" fillId="0" borderId="0" xfId="0" applyNumberFormat="1"/>
    <xf numFmtId="1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5" fontId="0" fillId="0" borderId="1" xfId="0" applyNumberFormat="1" applyBorder="1" applyAlignment="1">
      <alignment wrapText="1"/>
    </xf>
    <xf numFmtId="166" fontId="0" fillId="0" borderId="0" xfId="0" applyNumberFormat="1"/>
    <xf numFmtId="17" fontId="0" fillId="0" borderId="4" xfId="0" applyNumberFormat="1" applyBorder="1" applyAlignment="1">
      <alignment textRotation="90"/>
    </xf>
    <xf numFmtId="0" fontId="0" fillId="0" borderId="4" xfId="0" applyBorder="1" applyAlignment="1">
      <alignment textRotation="90"/>
    </xf>
    <xf numFmtId="0" fontId="0" fillId="0" borderId="3" xfId="0" applyBorder="1" applyAlignment="1">
      <alignment wrapText="1"/>
    </xf>
    <xf numFmtId="167" fontId="0" fillId="0" borderId="1" xfId="0" applyNumberFormat="1" applyBorder="1"/>
    <xf numFmtId="0" fontId="0" fillId="0" borderId="1" xfId="0" applyBorder="1" applyAlignment="1">
      <alignment horizontal="center"/>
    </xf>
    <xf numFmtId="17" fontId="0" fillId="0" borderId="4" xfId="0" applyNumberFormat="1" applyBorder="1" applyAlignment="1">
      <alignment horizontal="center" textRotation="90"/>
    </xf>
    <xf numFmtId="0" fontId="0" fillId="0" borderId="4" xfId="0" applyBorder="1" applyAlignment="1">
      <alignment horizontal="center" textRotation="90"/>
    </xf>
    <xf numFmtId="164" fontId="0" fillId="0" borderId="1" xfId="0" applyNumberFormat="1" applyBorder="1" applyAlignment="1">
      <alignment horizontal="center"/>
    </xf>
    <xf numFmtId="17" fontId="0" fillId="0" borderId="4" xfId="0" applyNumberFormat="1" applyBorder="1" applyAlignment="1">
      <alignment horizontal="center" textRotation="90" wrapText="1"/>
    </xf>
    <xf numFmtId="0" fontId="0" fillId="0" borderId="4" xfId="0" applyBorder="1" applyAlignment="1">
      <alignment horizontal="center" textRotation="90" wrapText="1"/>
    </xf>
    <xf numFmtId="165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166" fontId="0" fillId="0" borderId="0" xfId="0" applyNumberFormat="1" applyAlignment="1">
      <alignment horizontal="center"/>
    </xf>
    <xf numFmtId="17" fontId="0" fillId="0" borderId="4" xfId="0" applyNumberForma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7A01-563B-4BE7-988B-0B75B121EA90}">
  <dimension ref="A1:H25"/>
  <sheetViews>
    <sheetView zoomScale="145" zoomScaleNormal="145" workbookViewId="0">
      <selection activeCell="F30" sqref="F30"/>
    </sheetView>
  </sheetViews>
  <sheetFormatPr baseColWidth="10" defaultRowHeight="15" x14ac:dyDescent="0.25"/>
  <cols>
    <col min="2" max="2" width="23.28515625" bestFit="1" customWidth="1"/>
    <col min="4" max="4" width="13.28515625" bestFit="1" customWidth="1"/>
    <col min="5" max="5" width="22.85546875" bestFit="1" customWidth="1"/>
    <col min="6" max="6" width="14.7109375" bestFit="1" customWidth="1"/>
    <col min="7" max="7" width="22.85546875" bestFit="1" customWidth="1"/>
    <col min="8" max="8" width="14.28515625" bestFit="1" customWidth="1"/>
  </cols>
  <sheetData>
    <row r="1" spans="1:8" ht="30" customHeight="1" x14ac:dyDescent="0.25">
      <c r="A1" s="3" t="s">
        <v>2</v>
      </c>
      <c r="B1" s="4" t="s">
        <v>31</v>
      </c>
      <c r="C1" s="3" t="s">
        <v>3</v>
      </c>
      <c r="D1" s="4" t="s">
        <v>11</v>
      </c>
      <c r="E1" s="4" t="s">
        <v>32</v>
      </c>
      <c r="F1" s="4" t="s">
        <v>33</v>
      </c>
      <c r="G1" s="4" t="s">
        <v>35</v>
      </c>
      <c r="H1" s="16" t="s">
        <v>34</v>
      </c>
    </row>
    <row r="2" spans="1:8" x14ac:dyDescent="0.25">
      <c r="A2" s="3" t="s">
        <v>0</v>
      </c>
      <c r="B2" s="5">
        <v>10.1</v>
      </c>
      <c r="C2" s="3">
        <v>31</v>
      </c>
      <c r="D2" s="5">
        <f>B2*(C2*2)</f>
        <v>626.19999999999993</v>
      </c>
      <c r="E2" s="11">
        <v>27.99</v>
      </c>
      <c r="F2" s="10">
        <f>D2/100*E2</f>
        <v>175.27337999999997</v>
      </c>
      <c r="G2" s="11">
        <v>1.25</v>
      </c>
      <c r="H2" s="10">
        <f>D2/100*G2</f>
        <v>7.8274999999999997</v>
      </c>
    </row>
    <row r="3" spans="1:8" x14ac:dyDescent="0.25">
      <c r="A3" s="3" t="s">
        <v>1</v>
      </c>
      <c r="B3" s="5">
        <v>7.1</v>
      </c>
      <c r="C3" s="3">
        <v>28</v>
      </c>
      <c r="D3" s="5">
        <f t="shared" ref="D3:D12" si="0">B3*(C3*2)</f>
        <v>397.59999999999997</v>
      </c>
      <c r="E3" s="11">
        <v>27.99</v>
      </c>
      <c r="F3" s="10">
        <f t="shared" ref="F3:F13" si="1">D3/100*E3</f>
        <v>111.28823999999999</v>
      </c>
      <c r="G3" s="11">
        <v>1.25</v>
      </c>
      <c r="H3" s="10">
        <f t="shared" ref="H3:H13" si="2">D3/100*G3</f>
        <v>4.97</v>
      </c>
    </row>
    <row r="4" spans="1:8" x14ac:dyDescent="0.25">
      <c r="A4" s="3" t="s">
        <v>4</v>
      </c>
      <c r="B4" s="5">
        <v>3</v>
      </c>
      <c r="C4" s="3">
        <v>1.5</v>
      </c>
      <c r="D4" s="5">
        <f t="shared" si="0"/>
        <v>9</v>
      </c>
      <c r="E4" s="11">
        <v>27.99</v>
      </c>
      <c r="F4" s="10">
        <f t="shared" si="1"/>
        <v>2.5190999999999999</v>
      </c>
      <c r="G4" s="11">
        <v>1.25</v>
      </c>
      <c r="H4" s="10">
        <f t="shared" si="2"/>
        <v>0.11249999999999999</v>
      </c>
    </row>
    <row r="5" spans="1:8" x14ac:dyDescent="0.25">
      <c r="A5" s="3" t="s">
        <v>12</v>
      </c>
      <c r="B5" s="5">
        <v>41.3</v>
      </c>
      <c r="C5" s="3">
        <v>18</v>
      </c>
      <c r="D5" s="5">
        <f t="shared" si="0"/>
        <v>1486.8</v>
      </c>
      <c r="E5" s="11">
        <v>28.15</v>
      </c>
      <c r="F5" s="10">
        <f t="shared" si="1"/>
        <v>418.5342</v>
      </c>
      <c r="G5" s="11">
        <v>1.25</v>
      </c>
      <c r="H5" s="10">
        <f t="shared" si="2"/>
        <v>18.585000000000001</v>
      </c>
    </row>
    <row r="6" spans="1:8" x14ac:dyDescent="0.25">
      <c r="A6" s="3" t="s">
        <v>13</v>
      </c>
      <c r="B6" s="5">
        <v>18.3</v>
      </c>
      <c r="C6" s="3">
        <v>14</v>
      </c>
      <c r="D6" s="5">
        <f t="shared" si="0"/>
        <v>512.4</v>
      </c>
      <c r="E6" s="11">
        <v>28.15</v>
      </c>
      <c r="F6" s="10">
        <f t="shared" si="1"/>
        <v>144.24059999999997</v>
      </c>
      <c r="G6" s="11">
        <v>1.25</v>
      </c>
      <c r="H6" s="10">
        <f t="shared" si="2"/>
        <v>6.4049999999999994</v>
      </c>
    </row>
    <row r="7" spans="1:8" x14ac:dyDescent="0.25">
      <c r="A7" s="3" t="s">
        <v>5</v>
      </c>
      <c r="B7" s="5">
        <v>11.6</v>
      </c>
      <c r="C7" s="3">
        <v>28</v>
      </c>
      <c r="D7" s="5">
        <f t="shared" si="0"/>
        <v>649.6</v>
      </c>
      <c r="E7" s="11">
        <v>27.99</v>
      </c>
      <c r="F7" s="10">
        <f t="shared" si="1"/>
        <v>181.82303999999999</v>
      </c>
      <c r="G7" s="11">
        <v>1.25</v>
      </c>
      <c r="H7" s="10">
        <f t="shared" si="2"/>
        <v>8.120000000000001</v>
      </c>
    </row>
    <row r="8" spans="1:8" x14ac:dyDescent="0.25">
      <c r="A8" s="3" t="s">
        <v>6</v>
      </c>
      <c r="B8" s="5">
        <v>1.7</v>
      </c>
      <c r="C8" s="3">
        <v>28</v>
      </c>
      <c r="D8" s="5">
        <f t="shared" si="0"/>
        <v>95.2</v>
      </c>
      <c r="E8" s="11">
        <v>27.99</v>
      </c>
      <c r="F8" s="10">
        <f t="shared" si="1"/>
        <v>26.64648</v>
      </c>
      <c r="G8" s="11">
        <v>1.25</v>
      </c>
      <c r="H8" s="10">
        <f t="shared" si="2"/>
        <v>1.1900000000000002</v>
      </c>
    </row>
    <row r="9" spans="1:8" x14ac:dyDescent="0.25">
      <c r="A9" s="3" t="s">
        <v>7</v>
      </c>
      <c r="B9" s="5">
        <v>3.4</v>
      </c>
      <c r="C9" s="3">
        <v>28</v>
      </c>
      <c r="D9" s="5">
        <f t="shared" si="0"/>
        <v>190.4</v>
      </c>
      <c r="E9" s="11">
        <v>27.99</v>
      </c>
      <c r="F9" s="10">
        <f t="shared" si="1"/>
        <v>53.292960000000001</v>
      </c>
      <c r="G9" s="11">
        <v>1.25</v>
      </c>
      <c r="H9" s="10">
        <f t="shared" si="2"/>
        <v>2.3800000000000003</v>
      </c>
    </row>
    <row r="10" spans="1:8" x14ac:dyDescent="0.25">
      <c r="A10" s="3" t="s">
        <v>8</v>
      </c>
      <c r="B10" s="5">
        <v>24.2</v>
      </c>
      <c r="C10" s="3">
        <v>8</v>
      </c>
      <c r="D10" s="5">
        <f t="shared" si="0"/>
        <v>387.2</v>
      </c>
      <c r="E10" s="11">
        <v>27.99</v>
      </c>
      <c r="F10" s="10">
        <f t="shared" si="1"/>
        <v>108.37727999999998</v>
      </c>
      <c r="G10" s="11">
        <v>1.25</v>
      </c>
      <c r="H10" s="10">
        <f t="shared" si="2"/>
        <v>4.84</v>
      </c>
    </row>
    <row r="11" spans="1:8" x14ac:dyDescent="0.25">
      <c r="A11" s="3" t="s">
        <v>9</v>
      </c>
      <c r="B11" s="5">
        <v>0</v>
      </c>
      <c r="C11" s="3">
        <v>28</v>
      </c>
      <c r="D11" s="5">
        <f t="shared" si="0"/>
        <v>0</v>
      </c>
      <c r="E11" s="11">
        <v>27.99</v>
      </c>
      <c r="F11" s="10">
        <f t="shared" si="1"/>
        <v>0</v>
      </c>
      <c r="G11" s="11">
        <v>1.25</v>
      </c>
      <c r="H11" s="10">
        <f t="shared" si="2"/>
        <v>0</v>
      </c>
    </row>
    <row r="12" spans="1:8" x14ac:dyDescent="0.25">
      <c r="A12" s="7" t="s">
        <v>10</v>
      </c>
      <c r="B12" s="6">
        <v>3.4</v>
      </c>
      <c r="C12" s="7">
        <v>17.5</v>
      </c>
      <c r="D12" s="5">
        <f t="shared" si="0"/>
        <v>119</v>
      </c>
      <c r="E12" s="11">
        <v>28.15</v>
      </c>
      <c r="F12" s="10">
        <f t="shared" si="1"/>
        <v>33.4985</v>
      </c>
      <c r="G12" s="11">
        <v>1.25</v>
      </c>
      <c r="H12" s="10">
        <f t="shared" si="2"/>
        <v>1.4874999999999998</v>
      </c>
    </row>
    <row r="13" spans="1:8" x14ac:dyDescent="0.25">
      <c r="A13" s="3" t="s">
        <v>14</v>
      </c>
      <c r="B13" s="5">
        <v>13.6</v>
      </c>
      <c r="C13" s="3">
        <v>2</v>
      </c>
      <c r="D13" s="5">
        <f>B13*(C13*2)</f>
        <v>54.4</v>
      </c>
      <c r="E13" s="11">
        <v>28.15</v>
      </c>
      <c r="F13" s="10">
        <f t="shared" si="1"/>
        <v>15.313600000000001</v>
      </c>
      <c r="G13" s="11">
        <v>1.25</v>
      </c>
      <c r="H13" s="10">
        <f t="shared" si="2"/>
        <v>0.68</v>
      </c>
    </row>
    <row r="14" spans="1:8" x14ac:dyDescent="0.25">
      <c r="B14" s="2"/>
    </row>
    <row r="15" spans="1:8" ht="30" x14ac:dyDescent="0.25">
      <c r="B15" s="2"/>
      <c r="D15" s="5" t="s">
        <v>24</v>
      </c>
      <c r="F15" s="4" t="s">
        <v>36</v>
      </c>
      <c r="H15" s="4" t="s">
        <v>37</v>
      </c>
    </row>
    <row r="16" spans="1:8" x14ac:dyDescent="0.25">
      <c r="D16" s="5">
        <f>SUM(D2:D13)</f>
        <v>4527.7999999999993</v>
      </c>
      <c r="F16" s="10">
        <f>SUM(F2:F13)</f>
        <v>1270.8073799999997</v>
      </c>
      <c r="H16" s="10">
        <f>SUM(H2:H13)</f>
        <v>56.597499999999989</v>
      </c>
    </row>
    <row r="17" spans="4:8" x14ac:dyDescent="0.25">
      <c r="D17" s="2"/>
    </row>
    <row r="18" spans="4:8" ht="30" customHeight="1" x14ac:dyDescent="0.25">
      <c r="D18" s="2"/>
      <c r="F18" s="4" t="s">
        <v>38</v>
      </c>
      <c r="H18" s="4" t="s">
        <v>40</v>
      </c>
    </row>
    <row r="19" spans="4:8" x14ac:dyDescent="0.25">
      <c r="D19" s="2"/>
      <c r="F19" s="17">
        <v>2.12</v>
      </c>
      <c r="H19" s="17">
        <v>0.92</v>
      </c>
    </row>
    <row r="20" spans="4:8" x14ac:dyDescent="0.25">
      <c r="D20" s="2"/>
    </row>
    <row r="21" spans="4:8" ht="30" customHeight="1" x14ac:dyDescent="0.25">
      <c r="D21" s="2"/>
      <c r="F21" s="3" t="s">
        <v>39</v>
      </c>
      <c r="H21" s="4" t="s">
        <v>41</v>
      </c>
    </row>
    <row r="22" spans="4:8" x14ac:dyDescent="0.25">
      <c r="D22" s="2"/>
      <c r="F22" s="17">
        <f>F16*F19</f>
        <v>2694.1116455999995</v>
      </c>
      <c r="H22" s="17">
        <f>H16*H19</f>
        <v>52.06969999999999</v>
      </c>
    </row>
    <row r="23" spans="4:8" x14ac:dyDescent="0.25">
      <c r="D23" s="2"/>
    </row>
    <row r="24" spans="4:8" ht="30" customHeight="1" x14ac:dyDescent="0.25">
      <c r="D24" s="3" t="s">
        <v>42</v>
      </c>
      <c r="F24" s="4" t="s">
        <v>43</v>
      </c>
      <c r="H24" s="4" t="s">
        <v>44</v>
      </c>
    </row>
    <row r="25" spans="4:8" x14ac:dyDescent="0.25">
      <c r="D25" s="3">
        <v>90</v>
      </c>
      <c r="F25" s="17">
        <f>F22*D25</f>
        <v>242470.04810399996</v>
      </c>
      <c r="H25" s="17">
        <f>D25*H22</f>
        <v>4686.2729999999992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F191-D95E-432D-BBFF-1E894C697E66}">
  <dimension ref="A1:G101"/>
  <sheetViews>
    <sheetView topLeftCell="A33" workbookViewId="0">
      <selection activeCell="E50" sqref="E50"/>
    </sheetView>
  </sheetViews>
  <sheetFormatPr baseColWidth="10" defaultRowHeight="15" x14ac:dyDescent="0.25"/>
  <cols>
    <col min="1" max="1" width="10.140625" bestFit="1" customWidth="1"/>
    <col min="2" max="2" width="13" bestFit="1" customWidth="1"/>
    <col min="3" max="3" width="12.7109375" bestFit="1" customWidth="1"/>
    <col min="4" max="4" width="15.42578125" bestFit="1" customWidth="1"/>
    <col min="5" max="5" width="13" bestFit="1" customWidth="1"/>
    <col min="7" max="7" width="13" bestFit="1" customWidth="1"/>
  </cols>
  <sheetData>
    <row r="1" spans="1:5" ht="30" customHeight="1" x14ac:dyDescent="0.25">
      <c r="A1" s="3" t="s">
        <v>15</v>
      </c>
      <c r="B1" s="3" t="s">
        <v>16</v>
      </c>
      <c r="C1" s="4" t="s">
        <v>25</v>
      </c>
      <c r="D1" s="4" t="s">
        <v>18</v>
      </c>
      <c r="E1" s="4" t="s">
        <v>19</v>
      </c>
    </row>
    <row r="2" spans="1:5" x14ac:dyDescent="0.25">
      <c r="A2" s="9">
        <v>44418</v>
      </c>
      <c r="B2" s="5">
        <v>435</v>
      </c>
      <c r="C2" s="12">
        <v>105</v>
      </c>
      <c r="D2" s="11">
        <v>24.14</v>
      </c>
      <c r="E2" s="11">
        <f t="shared" ref="E2:E56" si="0">C2/B2*100</f>
        <v>24.137931034482758</v>
      </c>
    </row>
    <row r="3" spans="1:5" x14ac:dyDescent="0.25">
      <c r="A3" s="9">
        <v>44417</v>
      </c>
      <c r="B3" s="5">
        <v>438</v>
      </c>
      <c r="C3" s="12">
        <v>107</v>
      </c>
      <c r="D3" s="11">
        <v>24.43</v>
      </c>
      <c r="E3" s="11">
        <f t="shared" si="0"/>
        <v>24.429223744292237</v>
      </c>
    </row>
    <row r="4" spans="1:5" x14ac:dyDescent="0.25">
      <c r="A4" s="9">
        <v>44413</v>
      </c>
      <c r="B4" s="5">
        <v>585</v>
      </c>
      <c r="C4" s="12">
        <v>145</v>
      </c>
      <c r="D4" s="11">
        <v>24.79</v>
      </c>
      <c r="E4" s="11">
        <f t="shared" si="0"/>
        <v>24.786324786324787</v>
      </c>
    </row>
    <row r="5" spans="1:5" x14ac:dyDescent="0.25">
      <c r="A5" s="9">
        <v>44411</v>
      </c>
      <c r="B5" s="5">
        <v>430</v>
      </c>
      <c r="C5" s="12">
        <v>105</v>
      </c>
      <c r="D5" s="11">
        <v>24.42</v>
      </c>
      <c r="E5" s="11">
        <f t="shared" si="0"/>
        <v>24.418604651162788</v>
      </c>
    </row>
    <row r="6" spans="1:5" x14ac:dyDescent="0.25">
      <c r="A6" s="9">
        <v>44407</v>
      </c>
      <c r="B6" s="5">
        <v>475</v>
      </c>
      <c r="C6" s="12">
        <v>120</v>
      </c>
      <c r="D6" s="11">
        <v>25.26</v>
      </c>
      <c r="E6" s="11">
        <f t="shared" si="0"/>
        <v>25.263157894736842</v>
      </c>
    </row>
    <row r="7" spans="1:5" x14ac:dyDescent="0.25">
      <c r="A7" s="9">
        <v>44406</v>
      </c>
      <c r="B7" s="5">
        <v>320</v>
      </c>
      <c r="C7" s="12">
        <v>85</v>
      </c>
      <c r="D7" s="11">
        <v>26.56</v>
      </c>
      <c r="E7" s="11">
        <f t="shared" si="0"/>
        <v>26.5625</v>
      </c>
    </row>
    <row r="8" spans="1:5" x14ac:dyDescent="0.25">
      <c r="A8" s="9">
        <v>44405</v>
      </c>
      <c r="B8" s="5">
        <v>425</v>
      </c>
      <c r="C8" s="12">
        <v>111</v>
      </c>
      <c r="D8" s="11">
        <v>26.12</v>
      </c>
      <c r="E8" s="11">
        <f t="shared" si="0"/>
        <v>26.117647058823529</v>
      </c>
    </row>
    <row r="9" spans="1:5" x14ac:dyDescent="0.25">
      <c r="A9" s="9">
        <v>44403</v>
      </c>
      <c r="B9" s="5">
        <v>445</v>
      </c>
      <c r="C9" s="12">
        <v>118</v>
      </c>
      <c r="D9" s="11">
        <v>26.52</v>
      </c>
      <c r="E9" s="11">
        <f t="shared" si="0"/>
        <v>26.516853932584272</v>
      </c>
    </row>
    <row r="10" spans="1:5" x14ac:dyDescent="0.25">
      <c r="A10" s="9">
        <v>44400</v>
      </c>
      <c r="B10" s="5">
        <v>425</v>
      </c>
      <c r="C10" s="12">
        <v>107</v>
      </c>
      <c r="D10" s="11">
        <v>25.18</v>
      </c>
      <c r="E10" s="11">
        <f t="shared" si="0"/>
        <v>25.176470588235293</v>
      </c>
    </row>
    <row r="11" spans="1:5" x14ac:dyDescent="0.25">
      <c r="A11" s="9">
        <v>44399</v>
      </c>
      <c r="B11" s="5">
        <v>550</v>
      </c>
      <c r="C11" s="12">
        <v>140</v>
      </c>
      <c r="D11" s="11">
        <v>25.45</v>
      </c>
      <c r="E11" s="11">
        <f t="shared" si="0"/>
        <v>25.454545454545453</v>
      </c>
    </row>
    <row r="12" spans="1:5" x14ac:dyDescent="0.25">
      <c r="A12" s="9">
        <v>44397</v>
      </c>
      <c r="B12" s="5">
        <v>381</v>
      </c>
      <c r="C12" s="12">
        <v>101</v>
      </c>
      <c r="D12" s="11">
        <v>26.51</v>
      </c>
      <c r="E12" s="11">
        <f t="shared" si="0"/>
        <v>26.509186351706038</v>
      </c>
    </row>
    <row r="13" spans="1:5" x14ac:dyDescent="0.25">
      <c r="A13" s="9">
        <v>44396</v>
      </c>
      <c r="B13" s="5">
        <v>553</v>
      </c>
      <c r="C13" s="12">
        <v>138</v>
      </c>
      <c r="D13" s="11">
        <v>24.95</v>
      </c>
      <c r="E13" s="11">
        <f t="shared" si="0"/>
        <v>24.954792043399639</v>
      </c>
    </row>
    <row r="14" spans="1:5" x14ac:dyDescent="0.25">
      <c r="A14" s="9">
        <v>44392</v>
      </c>
      <c r="B14" s="5">
        <v>636</v>
      </c>
      <c r="C14" s="12">
        <v>166</v>
      </c>
      <c r="D14" s="11">
        <v>26.1</v>
      </c>
      <c r="E14" s="11">
        <f t="shared" si="0"/>
        <v>26.10062893081761</v>
      </c>
    </row>
    <row r="15" spans="1:5" x14ac:dyDescent="0.25">
      <c r="A15" s="9">
        <v>44390</v>
      </c>
      <c r="B15" s="5">
        <v>415</v>
      </c>
      <c r="C15" s="12">
        <v>106</v>
      </c>
      <c r="D15" s="11">
        <v>25.54</v>
      </c>
      <c r="E15" s="11">
        <f t="shared" si="0"/>
        <v>25.542168674698797</v>
      </c>
    </row>
    <row r="16" spans="1:5" x14ac:dyDescent="0.25">
      <c r="A16" s="9">
        <v>44389</v>
      </c>
      <c r="B16" s="5">
        <v>402</v>
      </c>
      <c r="C16" s="12">
        <v>107</v>
      </c>
      <c r="D16" s="11">
        <v>26.62</v>
      </c>
      <c r="E16" s="11">
        <f t="shared" si="0"/>
        <v>26.616915422885572</v>
      </c>
    </row>
    <row r="17" spans="1:5" x14ac:dyDescent="0.25">
      <c r="A17" s="9">
        <v>44385</v>
      </c>
      <c r="B17" s="5">
        <v>755</v>
      </c>
      <c r="C17" s="12">
        <v>200</v>
      </c>
      <c r="D17" s="11">
        <v>26.49</v>
      </c>
      <c r="E17" s="11">
        <f t="shared" si="0"/>
        <v>26.490066225165563</v>
      </c>
    </row>
    <row r="18" spans="1:5" x14ac:dyDescent="0.25">
      <c r="A18" s="9">
        <v>44383</v>
      </c>
      <c r="B18" s="5">
        <v>623</v>
      </c>
      <c r="C18" s="12">
        <v>160</v>
      </c>
      <c r="D18" s="11">
        <v>25.68</v>
      </c>
      <c r="E18" s="11">
        <f t="shared" si="0"/>
        <v>25.682182985553769</v>
      </c>
    </row>
    <row r="19" spans="1:5" x14ac:dyDescent="0.25">
      <c r="A19" s="9">
        <v>44379</v>
      </c>
      <c r="B19" s="5">
        <v>316</v>
      </c>
      <c r="C19" s="12">
        <v>93</v>
      </c>
      <c r="D19" s="11">
        <v>29.43</v>
      </c>
      <c r="E19" s="11">
        <f t="shared" si="0"/>
        <v>29.430379746835445</v>
      </c>
    </row>
    <row r="20" spans="1:5" x14ac:dyDescent="0.25">
      <c r="A20" s="9">
        <v>44378</v>
      </c>
      <c r="B20" s="5">
        <v>613</v>
      </c>
      <c r="C20" s="12">
        <v>150</v>
      </c>
      <c r="D20" s="11">
        <v>24.47</v>
      </c>
      <c r="E20" s="11">
        <f t="shared" si="0"/>
        <v>24.469820554649267</v>
      </c>
    </row>
    <row r="21" spans="1:5" x14ac:dyDescent="0.25">
      <c r="A21" s="9">
        <v>44376</v>
      </c>
      <c r="B21" s="5">
        <v>404</v>
      </c>
      <c r="C21" s="12">
        <v>102</v>
      </c>
      <c r="D21" s="11">
        <v>25.25</v>
      </c>
      <c r="E21" s="11">
        <f t="shared" si="0"/>
        <v>25.247524752475247</v>
      </c>
    </row>
    <row r="22" spans="1:5" x14ac:dyDescent="0.25">
      <c r="A22" s="9">
        <v>44375</v>
      </c>
      <c r="B22" s="5">
        <v>617</v>
      </c>
      <c r="C22" s="12">
        <v>150</v>
      </c>
      <c r="D22" s="11">
        <v>24.31</v>
      </c>
      <c r="E22" s="11">
        <f t="shared" si="0"/>
        <v>24.311183144246353</v>
      </c>
    </row>
    <row r="23" spans="1:5" x14ac:dyDescent="0.25">
      <c r="A23" s="9">
        <v>44371</v>
      </c>
      <c r="B23" s="5">
        <v>522</v>
      </c>
      <c r="C23" s="12">
        <v>133</v>
      </c>
      <c r="D23" s="11">
        <v>25.48</v>
      </c>
      <c r="E23" s="11">
        <f t="shared" si="0"/>
        <v>25.478927203065133</v>
      </c>
    </row>
    <row r="24" spans="1:5" x14ac:dyDescent="0.25">
      <c r="A24" s="9">
        <v>44369</v>
      </c>
      <c r="B24" s="5">
        <v>400</v>
      </c>
      <c r="C24" s="12">
        <v>101</v>
      </c>
      <c r="D24" s="11">
        <v>25.25</v>
      </c>
      <c r="E24" s="11">
        <f t="shared" si="0"/>
        <v>25.25</v>
      </c>
    </row>
    <row r="25" spans="1:5" x14ac:dyDescent="0.25">
      <c r="A25" s="9">
        <v>44368</v>
      </c>
      <c r="B25" s="5">
        <v>571</v>
      </c>
      <c r="C25" s="12">
        <v>147</v>
      </c>
      <c r="D25" s="11">
        <v>25.74</v>
      </c>
      <c r="E25" s="11">
        <f t="shared" si="0"/>
        <v>25.744308231173381</v>
      </c>
    </row>
    <row r="26" spans="1:5" x14ac:dyDescent="0.25">
      <c r="A26" s="9">
        <v>44364</v>
      </c>
      <c r="B26" s="5">
        <v>510</v>
      </c>
      <c r="C26" s="12">
        <v>125</v>
      </c>
      <c r="D26" s="11">
        <v>24.51</v>
      </c>
      <c r="E26" s="11">
        <f t="shared" si="0"/>
        <v>24.509803921568626</v>
      </c>
    </row>
    <row r="27" spans="1:5" x14ac:dyDescent="0.25">
      <c r="A27" s="9">
        <v>44362</v>
      </c>
      <c r="B27" s="5">
        <v>530</v>
      </c>
      <c r="C27" s="12">
        <v>135</v>
      </c>
      <c r="D27" s="11">
        <v>25.47</v>
      </c>
      <c r="E27" s="11">
        <f t="shared" si="0"/>
        <v>25.471698113207548</v>
      </c>
    </row>
    <row r="28" spans="1:5" x14ac:dyDescent="0.25">
      <c r="A28" s="9">
        <v>44358</v>
      </c>
      <c r="B28" s="5">
        <v>486</v>
      </c>
      <c r="C28" s="12">
        <v>116</v>
      </c>
      <c r="D28" s="11">
        <v>23.87</v>
      </c>
      <c r="E28" s="11">
        <f t="shared" si="0"/>
        <v>23.868312757201647</v>
      </c>
    </row>
    <row r="29" spans="1:5" x14ac:dyDescent="0.25">
      <c r="A29" s="9">
        <v>44357</v>
      </c>
      <c r="B29" s="5">
        <v>297</v>
      </c>
      <c r="C29" s="12">
        <v>80</v>
      </c>
      <c r="D29" s="11">
        <v>26.94</v>
      </c>
      <c r="E29" s="11">
        <f t="shared" si="0"/>
        <v>26.936026936026934</v>
      </c>
    </row>
    <row r="30" spans="1:5" x14ac:dyDescent="0.25">
      <c r="A30" s="9">
        <v>44356</v>
      </c>
      <c r="B30" s="5">
        <v>834</v>
      </c>
      <c r="C30" s="12">
        <v>200</v>
      </c>
      <c r="D30" s="11">
        <v>23.98</v>
      </c>
      <c r="E30" s="11">
        <f t="shared" si="0"/>
        <v>23.980815347721823</v>
      </c>
    </row>
    <row r="31" spans="1:5" x14ac:dyDescent="0.25">
      <c r="A31" s="9">
        <v>44351</v>
      </c>
      <c r="B31" s="5">
        <v>400</v>
      </c>
      <c r="C31" s="12">
        <v>108</v>
      </c>
      <c r="D31" s="11">
        <v>27</v>
      </c>
      <c r="E31" s="11">
        <f t="shared" si="0"/>
        <v>27</v>
      </c>
    </row>
    <row r="32" spans="1:5" x14ac:dyDescent="0.25">
      <c r="A32" s="9">
        <v>44348</v>
      </c>
      <c r="B32" s="5">
        <v>477</v>
      </c>
      <c r="C32" s="12">
        <v>107</v>
      </c>
      <c r="D32" s="11">
        <v>22.43</v>
      </c>
      <c r="E32" s="11">
        <f t="shared" si="0"/>
        <v>22.431865828092242</v>
      </c>
    </row>
    <row r="33" spans="1:5" x14ac:dyDescent="0.25">
      <c r="A33" s="9">
        <v>44337</v>
      </c>
      <c r="B33" s="5">
        <v>395</v>
      </c>
      <c r="C33" s="12">
        <v>95</v>
      </c>
      <c r="D33" s="11">
        <v>24.05</v>
      </c>
      <c r="E33" s="11">
        <f t="shared" si="0"/>
        <v>24.050632911392405</v>
      </c>
    </row>
    <row r="34" spans="1:5" x14ac:dyDescent="0.25">
      <c r="A34" s="9">
        <v>44336</v>
      </c>
      <c r="B34" s="5">
        <v>499</v>
      </c>
      <c r="C34" s="12">
        <v>130</v>
      </c>
      <c r="D34" s="11">
        <v>26.05</v>
      </c>
      <c r="E34" s="11">
        <f t="shared" si="0"/>
        <v>26.052104208416832</v>
      </c>
    </row>
    <row r="35" spans="1:5" x14ac:dyDescent="0.25">
      <c r="A35" s="9">
        <v>44334</v>
      </c>
      <c r="B35" s="5">
        <v>394</v>
      </c>
      <c r="C35" s="12">
        <v>100</v>
      </c>
      <c r="D35" s="11">
        <v>25.38</v>
      </c>
      <c r="E35" s="11">
        <f t="shared" si="0"/>
        <v>25.380710659898476</v>
      </c>
    </row>
    <row r="36" spans="1:5" x14ac:dyDescent="0.25">
      <c r="A36" s="9">
        <v>44333</v>
      </c>
      <c r="B36" s="5">
        <v>400</v>
      </c>
      <c r="C36" s="12">
        <v>100</v>
      </c>
      <c r="D36" s="11">
        <v>25</v>
      </c>
      <c r="E36" s="11">
        <f t="shared" si="0"/>
        <v>25</v>
      </c>
    </row>
    <row r="37" spans="1:5" x14ac:dyDescent="0.25">
      <c r="A37" s="9">
        <v>44328</v>
      </c>
      <c r="B37" s="5">
        <v>459</v>
      </c>
      <c r="C37" s="12">
        <v>130</v>
      </c>
      <c r="D37" s="11">
        <v>28.32</v>
      </c>
      <c r="E37" s="11">
        <f t="shared" si="0"/>
        <v>28.322440087145967</v>
      </c>
    </row>
    <row r="38" spans="1:5" x14ac:dyDescent="0.25">
      <c r="A38" s="9">
        <v>44326</v>
      </c>
      <c r="B38" s="5">
        <v>417</v>
      </c>
      <c r="C38" s="12">
        <v>100</v>
      </c>
      <c r="D38" s="11">
        <v>23.98</v>
      </c>
      <c r="E38" s="11">
        <f t="shared" si="0"/>
        <v>23.980815347721823</v>
      </c>
    </row>
    <row r="39" spans="1:5" x14ac:dyDescent="0.25">
      <c r="A39" s="9">
        <v>44323</v>
      </c>
      <c r="B39" s="5">
        <v>608</v>
      </c>
      <c r="C39" s="12">
        <v>154</v>
      </c>
      <c r="D39" s="11">
        <v>25.33</v>
      </c>
      <c r="E39" s="11">
        <f t="shared" si="0"/>
        <v>25.328947368421051</v>
      </c>
    </row>
    <row r="40" spans="1:5" x14ac:dyDescent="0.25">
      <c r="A40" s="9">
        <v>44321</v>
      </c>
      <c r="B40" s="5">
        <v>486</v>
      </c>
      <c r="C40" s="12">
        <v>121</v>
      </c>
      <c r="D40" s="11">
        <v>24.9</v>
      </c>
      <c r="E40" s="11">
        <f t="shared" si="0"/>
        <v>24.897119341563787</v>
      </c>
    </row>
    <row r="41" spans="1:5" x14ac:dyDescent="0.25">
      <c r="A41" s="9">
        <v>44319</v>
      </c>
      <c r="B41" s="5">
        <v>386</v>
      </c>
      <c r="C41" s="12">
        <v>94</v>
      </c>
      <c r="D41" s="11">
        <v>24.35</v>
      </c>
      <c r="E41" s="11">
        <f t="shared" si="0"/>
        <v>24.352331606217618</v>
      </c>
    </row>
    <row r="42" spans="1:5" x14ac:dyDescent="0.25">
      <c r="A42" s="9">
        <v>44316</v>
      </c>
      <c r="B42" s="5">
        <v>398</v>
      </c>
      <c r="C42" s="12">
        <v>96</v>
      </c>
      <c r="D42" s="11">
        <v>24.12</v>
      </c>
      <c r="E42" s="11">
        <f t="shared" si="0"/>
        <v>24.120603015075375</v>
      </c>
    </row>
    <row r="43" spans="1:5" x14ac:dyDescent="0.25">
      <c r="A43" s="9">
        <v>44315</v>
      </c>
      <c r="B43" s="5">
        <v>512</v>
      </c>
      <c r="C43" s="12">
        <v>130</v>
      </c>
      <c r="D43" s="11">
        <v>25.39</v>
      </c>
      <c r="E43" s="11">
        <f t="shared" si="0"/>
        <v>25.390625</v>
      </c>
    </row>
    <row r="44" spans="1:5" x14ac:dyDescent="0.25">
      <c r="A44" s="9">
        <v>44313</v>
      </c>
      <c r="B44" s="5">
        <v>408</v>
      </c>
      <c r="C44" s="12">
        <v>100</v>
      </c>
      <c r="D44" s="11">
        <v>24.51</v>
      </c>
      <c r="E44" s="11">
        <f t="shared" si="0"/>
        <v>24.509803921568626</v>
      </c>
    </row>
    <row r="45" spans="1:5" x14ac:dyDescent="0.25">
      <c r="A45" s="9">
        <v>44312</v>
      </c>
      <c r="B45" s="5">
        <v>378</v>
      </c>
      <c r="C45" s="12">
        <v>100</v>
      </c>
      <c r="D45" s="11">
        <v>26.46</v>
      </c>
      <c r="E45" s="11">
        <f t="shared" si="0"/>
        <v>26.455026455026452</v>
      </c>
    </row>
    <row r="46" spans="1:5" x14ac:dyDescent="0.25">
      <c r="A46" s="9">
        <v>44308</v>
      </c>
      <c r="B46" s="5">
        <v>540</v>
      </c>
      <c r="C46" s="12">
        <v>125</v>
      </c>
      <c r="D46" s="11">
        <v>23.15</v>
      </c>
      <c r="E46" s="11">
        <f t="shared" si="0"/>
        <v>23.148148148148149</v>
      </c>
    </row>
    <row r="47" spans="1:5" x14ac:dyDescent="0.25">
      <c r="A47" s="9">
        <v>44306</v>
      </c>
      <c r="B47" s="5">
        <v>596</v>
      </c>
      <c r="C47" s="12">
        <v>148</v>
      </c>
      <c r="D47" s="11">
        <v>24.83</v>
      </c>
      <c r="E47" s="11">
        <f t="shared" si="0"/>
        <v>24.832214765100673</v>
      </c>
    </row>
    <row r="48" spans="1:5" x14ac:dyDescent="0.25">
      <c r="A48" s="9">
        <v>44302</v>
      </c>
      <c r="B48" s="5">
        <v>803</v>
      </c>
      <c r="C48" s="12">
        <v>210</v>
      </c>
      <c r="D48" s="11">
        <v>26.15</v>
      </c>
      <c r="E48" s="11">
        <f t="shared" si="0"/>
        <v>26.151930261519301</v>
      </c>
    </row>
    <row r="49" spans="1:5" x14ac:dyDescent="0.25">
      <c r="A49" s="9">
        <v>44300</v>
      </c>
      <c r="B49" s="5">
        <v>708</v>
      </c>
      <c r="C49" s="12">
        <v>162</v>
      </c>
      <c r="D49" s="11">
        <v>22.88</v>
      </c>
      <c r="E49" s="11">
        <f t="shared" si="0"/>
        <v>22.881355932203391</v>
      </c>
    </row>
    <row r="50" spans="1:5" x14ac:dyDescent="0.25">
      <c r="A50" s="9">
        <v>44298</v>
      </c>
      <c r="B50" s="5">
        <v>507</v>
      </c>
      <c r="C50" s="12">
        <v>162</v>
      </c>
      <c r="D50" s="11">
        <v>31.95</v>
      </c>
      <c r="E50" s="11">
        <f t="shared" si="0"/>
        <v>31.952662721893493</v>
      </c>
    </row>
    <row r="51" spans="1:5" x14ac:dyDescent="0.25">
      <c r="A51" s="9">
        <v>44294</v>
      </c>
      <c r="B51" s="5">
        <v>577</v>
      </c>
      <c r="C51" s="12">
        <v>187</v>
      </c>
      <c r="D51" s="11">
        <v>32.409999999999997</v>
      </c>
      <c r="E51" s="11">
        <f t="shared" si="0"/>
        <v>32.40901213171577</v>
      </c>
    </row>
    <row r="52" spans="1:5" x14ac:dyDescent="0.25">
      <c r="A52" s="9">
        <v>44281</v>
      </c>
      <c r="B52" s="5">
        <v>414</v>
      </c>
      <c r="C52" s="12">
        <v>110</v>
      </c>
      <c r="D52" s="11">
        <v>26.57</v>
      </c>
      <c r="E52" s="11">
        <f t="shared" si="0"/>
        <v>26.570048309178745</v>
      </c>
    </row>
    <row r="53" spans="1:5" x14ac:dyDescent="0.25">
      <c r="A53" s="9">
        <v>44280</v>
      </c>
      <c r="B53" s="5">
        <v>402</v>
      </c>
      <c r="C53" s="12">
        <v>102</v>
      </c>
      <c r="D53" s="11">
        <v>25.37</v>
      </c>
      <c r="E53" s="11">
        <f t="shared" si="0"/>
        <v>25.373134328358208</v>
      </c>
    </row>
    <row r="54" spans="1:5" x14ac:dyDescent="0.25">
      <c r="A54" s="9">
        <v>44279</v>
      </c>
      <c r="B54" s="5">
        <v>420</v>
      </c>
      <c r="C54" s="12">
        <v>110</v>
      </c>
      <c r="D54" s="11">
        <v>26.19</v>
      </c>
      <c r="E54" s="11">
        <f t="shared" si="0"/>
        <v>26.190476190476193</v>
      </c>
    </row>
    <row r="55" spans="1:5" x14ac:dyDescent="0.25">
      <c r="A55" s="9">
        <v>44277</v>
      </c>
      <c r="B55" s="5">
        <v>394</v>
      </c>
      <c r="C55" s="12">
        <v>108</v>
      </c>
      <c r="D55" s="11">
        <v>27.41</v>
      </c>
      <c r="E55" s="11">
        <f t="shared" si="0"/>
        <v>27.411167512690355</v>
      </c>
    </row>
    <row r="56" spans="1:5" x14ac:dyDescent="0.25">
      <c r="A56" s="9">
        <v>44274</v>
      </c>
      <c r="B56" s="5">
        <v>414</v>
      </c>
      <c r="C56" s="12">
        <v>110</v>
      </c>
      <c r="D56" s="11">
        <v>26.57</v>
      </c>
      <c r="E56" s="11">
        <f t="shared" si="0"/>
        <v>26.570048309178745</v>
      </c>
    </row>
    <row r="57" spans="1:5" x14ac:dyDescent="0.25">
      <c r="A57" s="9">
        <v>44273</v>
      </c>
      <c r="B57" s="5">
        <v>304</v>
      </c>
      <c r="C57" s="12">
        <v>80</v>
      </c>
      <c r="D57" s="11">
        <v>26.32</v>
      </c>
      <c r="E57" s="11">
        <f t="shared" ref="E57:E96" si="1">C57/B57*100</f>
        <v>26.315789473684209</v>
      </c>
    </row>
    <row r="58" spans="1:5" x14ac:dyDescent="0.25">
      <c r="A58" s="9">
        <v>44272</v>
      </c>
      <c r="B58" s="5">
        <v>621</v>
      </c>
      <c r="C58" s="12">
        <v>170</v>
      </c>
      <c r="D58" s="11">
        <v>27.38</v>
      </c>
      <c r="E58" s="11">
        <f t="shared" si="1"/>
        <v>27.375201288244767</v>
      </c>
    </row>
    <row r="59" spans="1:5" x14ac:dyDescent="0.25">
      <c r="A59" s="9">
        <v>44270</v>
      </c>
      <c r="B59" s="5">
        <v>626</v>
      </c>
      <c r="C59" s="12">
        <v>158</v>
      </c>
      <c r="D59" s="11">
        <v>25.24</v>
      </c>
      <c r="E59" s="11">
        <f t="shared" si="1"/>
        <v>25.23961661341853</v>
      </c>
    </row>
    <row r="60" spans="1:5" x14ac:dyDescent="0.25">
      <c r="A60" s="9">
        <v>44266</v>
      </c>
      <c r="B60" s="5">
        <v>517</v>
      </c>
      <c r="C60" s="12">
        <v>133</v>
      </c>
      <c r="D60" s="11">
        <v>25.73</v>
      </c>
      <c r="E60" s="11">
        <f t="shared" si="1"/>
        <v>25.72533849129594</v>
      </c>
    </row>
    <row r="61" spans="1:5" x14ac:dyDescent="0.25">
      <c r="A61" s="9">
        <v>44264</v>
      </c>
      <c r="B61" s="5">
        <v>541</v>
      </c>
      <c r="C61" s="12">
        <v>143</v>
      </c>
      <c r="D61" s="11">
        <v>26.43</v>
      </c>
      <c r="E61" s="11">
        <f t="shared" si="1"/>
        <v>26.432532347504623</v>
      </c>
    </row>
    <row r="62" spans="1:5" x14ac:dyDescent="0.25">
      <c r="A62" s="9">
        <v>44260</v>
      </c>
      <c r="B62" s="5">
        <v>579</v>
      </c>
      <c r="C62" s="12">
        <v>140</v>
      </c>
      <c r="D62" s="11">
        <v>24.18</v>
      </c>
      <c r="E62" s="11">
        <f t="shared" si="1"/>
        <v>24.179620034542314</v>
      </c>
    </row>
    <row r="63" spans="1:5" x14ac:dyDescent="0.25">
      <c r="A63" s="9">
        <v>44258</v>
      </c>
      <c r="B63" s="5">
        <v>421</v>
      </c>
      <c r="C63" s="12">
        <v>108</v>
      </c>
      <c r="D63" s="11">
        <v>25.65</v>
      </c>
      <c r="E63" s="11">
        <f t="shared" si="1"/>
        <v>25.653206650831358</v>
      </c>
    </row>
    <row r="64" spans="1:5" x14ac:dyDescent="0.25">
      <c r="A64" s="9">
        <v>44257</v>
      </c>
      <c r="B64" s="5">
        <v>628</v>
      </c>
      <c r="C64" s="12">
        <v>160</v>
      </c>
      <c r="D64" s="11">
        <v>25.48</v>
      </c>
      <c r="E64" s="11">
        <f t="shared" si="1"/>
        <v>25.477707006369428</v>
      </c>
    </row>
    <row r="65" spans="1:5" x14ac:dyDescent="0.25">
      <c r="A65" s="9">
        <v>44253</v>
      </c>
      <c r="B65" s="5">
        <v>316</v>
      </c>
      <c r="C65" s="12">
        <v>80</v>
      </c>
      <c r="D65" s="11">
        <v>25.32</v>
      </c>
      <c r="E65" s="11">
        <f t="shared" si="1"/>
        <v>25.316455696202532</v>
      </c>
    </row>
    <row r="66" spans="1:5" x14ac:dyDescent="0.25">
      <c r="A66" s="9">
        <v>44252</v>
      </c>
      <c r="B66" s="5">
        <v>626</v>
      </c>
      <c r="C66" s="12">
        <v>155</v>
      </c>
      <c r="D66" s="11">
        <v>24.76</v>
      </c>
      <c r="E66" s="11">
        <f t="shared" si="1"/>
        <v>24.76038338658147</v>
      </c>
    </row>
    <row r="67" spans="1:5" x14ac:dyDescent="0.25">
      <c r="A67" s="9">
        <v>44250</v>
      </c>
      <c r="B67" s="5">
        <v>495</v>
      </c>
      <c r="C67" s="12">
        <v>130</v>
      </c>
      <c r="D67" s="11">
        <v>26.26</v>
      </c>
      <c r="E67" s="11">
        <f t="shared" si="1"/>
        <v>26.262626262626267</v>
      </c>
    </row>
    <row r="68" spans="1:5" x14ac:dyDescent="0.25">
      <c r="A68" s="9">
        <v>44246</v>
      </c>
      <c r="B68" s="5">
        <v>380</v>
      </c>
      <c r="C68" s="12">
        <v>140</v>
      </c>
      <c r="D68" s="11">
        <v>36.840000000000003</v>
      </c>
      <c r="E68" s="11">
        <f t="shared" si="1"/>
        <v>36.84210526315789</v>
      </c>
    </row>
    <row r="69" spans="1:5" x14ac:dyDescent="0.25">
      <c r="A69" s="9">
        <v>44239</v>
      </c>
      <c r="B69" s="5">
        <v>663</v>
      </c>
      <c r="C69" s="12">
        <v>195</v>
      </c>
      <c r="D69" s="11">
        <v>29.41</v>
      </c>
      <c r="E69" s="11">
        <f t="shared" si="1"/>
        <v>29.411764705882355</v>
      </c>
    </row>
    <row r="70" spans="1:5" x14ac:dyDescent="0.25">
      <c r="A70" s="9">
        <v>44236</v>
      </c>
      <c r="B70" s="5">
        <v>456</v>
      </c>
      <c r="C70" s="12">
        <v>124</v>
      </c>
      <c r="D70" s="11">
        <v>27.19</v>
      </c>
      <c r="E70" s="11">
        <f t="shared" si="1"/>
        <v>27.192982456140353</v>
      </c>
    </row>
    <row r="71" spans="1:5" x14ac:dyDescent="0.25">
      <c r="A71" s="9">
        <v>44232</v>
      </c>
      <c r="B71" s="5">
        <v>616</v>
      </c>
      <c r="C71" s="12">
        <v>163</v>
      </c>
      <c r="D71" s="11">
        <v>26.46</v>
      </c>
      <c r="E71" s="11">
        <f t="shared" si="1"/>
        <v>26.461038961038962</v>
      </c>
    </row>
    <row r="72" spans="1:5" x14ac:dyDescent="0.25">
      <c r="A72" s="9">
        <v>44229</v>
      </c>
      <c r="B72" s="5">
        <v>435</v>
      </c>
      <c r="C72" s="12">
        <v>120</v>
      </c>
      <c r="D72" s="11">
        <v>27.59</v>
      </c>
      <c r="E72" s="11">
        <f t="shared" si="1"/>
        <v>27.586206896551722</v>
      </c>
    </row>
    <row r="73" spans="1:5" x14ac:dyDescent="0.25">
      <c r="A73" s="9">
        <v>44225</v>
      </c>
      <c r="B73" s="5">
        <v>404</v>
      </c>
      <c r="C73" s="12">
        <v>113</v>
      </c>
      <c r="D73" s="11">
        <v>27.97</v>
      </c>
      <c r="E73" s="11">
        <f t="shared" si="1"/>
        <v>27.970297029702973</v>
      </c>
    </row>
    <row r="74" spans="1:5" x14ac:dyDescent="0.25">
      <c r="A74" s="9">
        <v>44223</v>
      </c>
      <c r="B74" s="5">
        <v>617</v>
      </c>
      <c r="C74" s="12">
        <v>178</v>
      </c>
      <c r="D74" s="11">
        <v>28.85</v>
      </c>
      <c r="E74" s="11">
        <f t="shared" si="1"/>
        <v>28.849270664505671</v>
      </c>
    </row>
    <row r="75" spans="1:5" x14ac:dyDescent="0.25">
      <c r="A75" s="9">
        <v>44218</v>
      </c>
      <c r="B75" s="5">
        <v>396</v>
      </c>
      <c r="C75" s="12">
        <v>107</v>
      </c>
      <c r="D75" s="11">
        <v>27.02</v>
      </c>
      <c r="E75" s="11">
        <f t="shared" si="1"/>
        <v>27.020202020202021</v>
      </c>
    </row>
    <row r="76" spans="1:5" x14ac:dyDescent="0.25">
      <c r="A76" s="9">
        <v>44216</v>
      </c>
      <c r="B76" s="5">
        <v>477</v>
      </c>
      <c r="C76" s="12">
        <v>100</v>
      </c>
      <c r="D76" s="11">
        <v>20.96</v>
      </c>
      <c r="E76" s="11">
        <f t="shared" si="1"/>
        <v>20.964360587002094</v>
      </c>
    </row>
    <row r="77" spans="1:5" x14ac:dyDescent="0.25">
      <c r="A77" s="9">
        <v>44214</v>
      </c>
      <c r="B77" s="5">
        <v>404</v>
      </c>
      <c r="C77" s="12">
        <v>120</v>
      </c>
      <c r="D77" s="11">
        <v>29.7</v>
      </c>
      <c r="E77" s="11">
        <f t="shared" si="1"/>
        <v>29.702970297029701</v>
      </c>
    </row>
    <row r="78" spans="1:5" x14ac:dyDescent="0.25">
      <c r="A78" s="9">
        <v>44210</v>
      </c>
      <c r="B78" s="5">
        <v>527</v>
      </c>
      <c r="C78" s="12">
        <v>155</v>
      </c>
      <c r="D78" s="11">
        <v>29.41</v>
      </c>
      <c r="E78" s="11">
        <f t="shared" si="1"/>
        <v>29.411764705882355</v>
      </c>
    </row>
    <row r="79" spans="1:5" x14ac:dyDescent="0.25">
      <c r="A79" s="9">
        <v>44208</v>
      </c>
      <c r="B79" s="5">
        <v>406</v>
      </c>
      <c r="C79" s="12">
        <v>120</v>
      </c>
      <c r="D79" s="11">
        <v>29.56</v>
      </c>
      <c r="E79" s="11">
        <f t="shared" si="1"/>
        <v>29.55665024630542</v>
      </c>
    </row>
    <row r="80" spans="1:5" x14ac:dyDescent="0.25">
      <c r="A80" s="9">
        <v>44195</v>
      </c>
      <c r="B80" s="5">
        <v>509</v>
      </c>
      <c r="C80" s="12">
        <v>150</v>
      </c>
      <c r="D80" s="11">
        <v>29.47</v>
      </c>
      <c r="E80" s="11">
        <f t="shared" si="1"/>
        <v>29.469548133595286</v>
      </c>
    </row>
    <row r="81" spans="1:7" x14ac:dyDescent="0.25">
      <c r="A81" s="9">
        <v>44188</v>
      </c>
      <c r="B81" s="5">
        <v>541</v>
      </c>
      <c r="C81" s="12">
        <v>127</v>
      </c>
      <c r="D81" s="11">
        <v>23.48</v>
      </c>
      <c r="E81" s="11">
        <f t="shared" si="1"/>
        <v>23.475046210720887</v>
      </c>
    </row>
    <row r="82" spans="1:7" x14ac:dyDescent="0.25">
      <c r="A82" s="9">
        <v>44187</v>
      </c>
      <c r="B82" s="5">
        <v>472</v>
      </c>
      <c r="C82" s="12">
        <v>125</v>
      </c>
      <c r="D82" s="11">
        <v>26.48</v>
      </c>
      <c r="E82" s="11">
        <f t="shared" si="1"/>
        <v>26.48305084745763</v>
      </c>
    </row>
    <row r="83" spans="1:7" x14ac:dyDescent="0.25">
      <c r="A83" s="9">
        <v>44183</v>
      </c>
      <c r="B83" s="5">
        <v>669</v>
      </c>
      <c r="C83" s="12">
        <v>176</v>
      </c>
      <c r="D83" s="11">
        <v>26.31</v>
      </c>
      <c r="E83" s="11">
        <f t="shared" si="1"/>
        <v>26.307922272047833</v>
      </c>
    </row>
    <row r="84" spans="1:7" x14ac:dyDescent="0.25">
      <c r="A84" s="9">
        <v>44180</v>
      </c>
      <c r="B84" s="5">
        <v>538</v>
      </c>
      <c r="C84" s="12">
        <v>149</v>
      </c>
      <c r="D84" s="11">
        <v>27.7</v>
      </c>
      <c r="E84" s="11">
        <f t="shared" si="1"/>
        <v>27.695167286245354</v>
      </c>
    </row>
    <row r="85" spans="1:7" x14ac:dyDescent="0.25">
      <c r="A85" s="9">
        <v>44176</v>
      </c>
      <c r="B85" s="5">
        <v>281</v>
      </c>
      <c r="C85" s="12">
        <v>75</v>
      </c>
      <c r="D85" s="11">
        <v>26.69</v>
      </c>
      <c r="E85" s="11">
        <f t="shared" si="1"/>
        <v>26.690391459074732</v>
      </c>
    </row>
    <row r="86" spans="1:7" x14ac:dyDescent="0.25">
      <c r="A86" s="9">
        <v>44175</v>
      </c>
      <c r="B86" s="5">
        <v>523</v>
      </c>
      <c r="C86" s="12">
        <v>145</v>
      </c>
      <c r="D86" s="11">
        <v>27.72</v>
      </c>
      <c r="E86" s="11">
        <f t="shared" si="1"/>
        <v>27.724665391969406</v>
      </c>
    </row>
    <row r="87" spans="1:7" x14ac:dyDescent="0.25">
      <c r="A87" s="9">
        <v>44174</v>
      </c>
      <c r="B87" s="5">
        <v>542</v>
      </c>
      <c r="C87" s="12">
        <v>147</v>
      </c>
      <c r="D87" s="11">
        <v>27.12</v>
      </c>
      <c r="E87" s="11">
        <f t="shared" si="1"/>
        <v>27.121771217712176</v>
      </c>
    </row>
    <row r="88" spans="1:7" x14ac:dyDescent="0.25">
      <c r="A88" s="9">
        <v>44172</v>
      </c>
      <c r="B88" s="5">
        <v>491</v>
      </c>
      <c r="C88" s="12">
        <v>127</v>
      </c>
      <c r="D88" s="11">
        <v>25.87</v>
      </c>
      <c r="E88" s="11">
        <f t="shared" si="1"/>
        <v>25.865580448065174</v>
      </c>
    </row>
    <row r="89" spans="1:7" x14ac:dyDescent="0.25">
      <c r="A89" s="9">
        <v>44168</v>
      </c>
      <c r="B89" s="5">
        <v>518</v>
      </c>
      <c r="C89" s="12">
        <v>138</v>
      </c>
      <c r="D89" s="11">
        <v>26.64</v>
      </c>
      <c r="E89" s="11">
        <f t="shared" si="1"/>
        <v>26.640926640926644</v>
      </c>
    </row>
    <row r="90" spans="1:7" x14ac:dyDescent="0.25">
      <c r="A90" s="9">
        <v>44167</v>
      </c>
      <c r="B90" s="5">
        <v>404</v>
      </c>
      <c r="C90" s="12">
        <v>124</v>
      </c>
      <c r="D90" s="11">
        <v>30.69</v>
      </c>
      <c r="E90" s="11">
        <f t="shared" si="1"/>
        <v>30.693069306930692</v>
      </c>
    </row>
    <row r="91" spans="1:7" x14ac:dyDescent="0.25">
      <c r="A91" s="9">
        <v>44165</v>
      </c>
      <c r="B91" s="5">
        <v>610</v>
      </c>
      <c r="C91" s="12">
        <v>163</v>
      </c>
      <c r="D91" s="11">
        <v>26.72</v>
      </c>
      <c r="E91" s="11">
        <f t="shared" si="1"/>
        <v>26.721311475409838</v>
      </c>
      <c r="G91" s="13">
        <f>AVERAGE(D91:D96)</f>
        <v>31.358333333333338</v>
      </c>
    </row>
    <row r="92" spans="1:7" x14ac:dyDescent="0.25">
      <c r="A92" s="9">
        <v>44161</v>
      </c>
      <c r="B92" s="5">
        <v>618</v>
      </c>
      <c r="C92" s="12">
        <v>170</v>
      </c>
      <c r="D92" s="11">
        <v>27.51</v>
      </c>
      <c r="E92" s="11">
        <f t="shared" si="1"/>
        <v>27.508090614886733</v>
      </c>
    </row>
    <row r="93" spans="1:7" x14ac:dyDescent="0.25">
      <c r="A93" s="9">
        <v>44159</v>
      </c>
      <c r="B93" s="5">
        <v>676</v>
      </c>
      <c r="C93" s="12">
        <v>185</v>
      </c>
      <c r="D93" s="11">
        <v>27.37</v>
      </c>
      <c r="E93" s="11">
        <f t="shared" si="1"/>
        <v>27.366863905325445</v>
      </c>
    </row>
    <row r="94" spans="1:7" x14ac:dyDescent="0.25">
      <c r="A94" s="9">
        <v>44155</v>
      </c>
      <c r="B94" s="5">
        <v>565</v>
      </c>
      <c r="C94" s="12">
        <v>210</v>
      </c>
      <c r="D94" s="11">
        <v>37.17</v>
      </c>
      <c r="E94" s="11">
        <f t="shared" si="1"/>
        <v>37.168141592920357</v>
      </c>
    </row>
    <row r="95" spans="1:7" x14ac:dyDescent="0.25">
      <c r="A95" s="9">
        <v>44153</v>
      </c>
      <c r="B95" s="5">
        <v>565</v>
      </c>
      <c r="C95" s="12">
        <v>185</v>
      </c>
      <c r="D95" s="11">
        <v>32.74</v>
      </c>
      <c r="E95" s="11">
        <f t="shared" si="1"/>
        <v>32.743362831858406</v>
      </c>
    </row>
    <row r="96" spans="1:7" x14ac:dyDescent="0.25">
      <c r="A96" s="9">
        <v>44148</v>
      </c>
      <c r="B96" s="5">
        <v>565</v>
      </c>
      <c r="C96" s="12">
        <v>207</v>
      </c>
      <c r="D96" s="11">
        <v>36.64</v>
      </c>
      <c r="E96" s="11">
        <f t="shared" si="1"/>
        <v>36.637168141592916</v>
      </c>
    </row>
    <row r="98" spans="2:5" x14ac:dyDescent="0.25">
      <c r="B98" s="3" t="s">
        <v>24</v>
      </c>
      <c r="C98" s="1"/>
      <c r="D98" s="18" t="s">
        <v>20</v>
      </c>
      <c r="E98" s="18"/>
    </row>
    <row r="99" spans="2:5" x14ac:dyDescent="0.25">
      <c r="B99" s="5">
        <f>SUM(B2:B96)</f>
        <v>47327</v>
      </c>
      <c r="C99" s="1"/>
      <c r="D99" s="11">
        <f>AVERAGE(D2:D96)</f>
        <v>26.528842105263156</v>
      </c>
      <c r="E99" s="11">
        <f>AVERAGE(E2:E96)</f>
        <v>26.528856775895086</v>
      </c>
    </row>
    <row r="100" spans="2:5" x14ac:dyDescent="0.25">
      <c r="C100" s="1"/>
      <c r="D100" s="18" t="s">
        <v>21</v>
      </c>
      <c r="E100" s="18"/>
    </row>
    <row r="101" spans="2:5" x14ac:dyDescent="0.25">
      <c r="C101" s="1"/>
      <c r="D101" s="11">
        <f>MEDIAN(D2:D96)</f>
        <v>26.12</v>
      </c>
      <c r="E101" s="11">
        <f>MEDIAN(E2:E96)</f>
        <v>26.117647058823529</v>
      </c>
    </row>
  </sheetData>
  <mergeCells count="2">
    <mergeCell ref="D98:E98"/>
    <mergeCell ref="D100:E100"/>
  </mergeCells>
  <conditionalFormatting sqref="D2:D9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6924-B4D0-4C0D-A565-1F07481CAD03}">
  <dimension ref="A1:S559"/>
  <sheetViews>
    <sheetView tabSelected="1" topLeftCell="A357" zoomScaleNormal="100" workbookViewId="0">
      <selection activeCell="R46" sqref="R46"/>
    </sheetView>
  </sheetViews>
  <sheetFormatPr baseColWidth="10" defaultRowHeight="15" x14ac:dyDescent="0.25"/>
  <cols>
    <col min="2" max="2" width="10.7109375" bestFit="1" customWidth="1"/>
    <col min="3" max="3" width="12.7109375" bestFit="1" customWidth="1"/>
    <col min="4" max="4" width="15.42578125" bestFit="1" customWidth="1"/>
    <col min="5" max="5" width="14" bestFit="1" customWidth="1"/>
    <col min="6" max="6" width="15.42578125" bestFit="1" customWidth="1"/>
    <col min="7" max="7" width="14" bestFit="1" customWidth="1"/>
    <col min="9" max="10" width="13" bestFit="1" customWidth="1"/>
    <col min="13" max="13" width="12.7109375" bestFit="1" customWidth="1"/>
    <col min="14" max="16" width="12" bestFit="1" customWidth="1"/>
    <col min="17" max="17" width="14" bestFit="1" customWidth="1"/>
    <col min="19" max="19" width="12" bestFit="1" customWidth="1"/>
  </cols>
  <sheetData>
    <row r="1" spans="1:17" ht="30" customHeight="1" x14ac:dyDescent="0.25">
      <c r="A1" s="3" t="s">
        <v>15</v>
      </c>
      <c r="B1" s="3" t="s">
        <v>16</v>
      </c>
      <c r="C1" s="4" t="s">
        <v>25</v>
      </c>
      <c r="D1" s="4" t="s">
        <v>18</v>
      </c>
      <c r="E1" s="4" t="s">
        <v>19</v>
      </c>
      <c r="F1" s="4" t="s">
        <v>18</v>
      </c>
      <c r="G1" s="4" t="s">
        <v>19</v>
      </c>
      <c r="K1" s="3" t="s">
        <v>15</v>
      </c>
      <c r="L1" s="3" t="s">
        <v>16</v>
      </c>
      <c r="M1" s="4" t="s">
        <v>34</v>
      </c>
      <c r="N1" s="4" t="s">
        <v>18</v>
      </c>
      <c r="O1" s="4" t="s">
        <v>19</v>
      </c>
      <c r="P1" s="4" t="s">
        <v>18</v>
      </c>
      <c r="Q1" s="4" t="s">
        <v>19</v>
      </c>
    </row>
    <row r="2" spans="1:17" x14ac:dyDescent="0.25">
      <c r="A2" s="9">
        <v>43776</v>
      </c>
      <c r="B2" s="5">
        <v>786</v>
      </c>
      <c r="C2" s="12">
        <v>215.16</v>
      </c>
      <c r="D2" s="11">
        <v>27.37</v>
      </c>
      <c r="E2" s="11">
        <f t="shared" ref="E2:E65" si="0">C2/B2*100</f>
        <v>27.374045801526719</v>
      </c>
      <c r="F2" s="11">
        <v>27.37</v>
      </c>
      <c r="G2" s="11">
        <f>C2/B2*100</f>
        <v>27.374045801526719</v>
      </c>
      <c r="K2" s="9">
        <v>43776</v>
      </c>
      <c r="L2" s="5">
        <v>1061</v>
      </c>
      <c r="M2" s="12">
        <v>13.01</v>
      </c>
      <c r="N2" s="11">
        <v>1.23</v>
      </c>
      <c r="O2" s="11">
        <f t="shared" ref="O2:O33" si="1">M2/L2*100</f>
        <v>1.2262016965127238</v>
      </c>
      <c r="P2" s="11">
        <v>1.23</v>
      </c>
      <c r="Q2" s="11">
        <f t="shared" ref="Q2:Q65" si="2">M2/L2*100</f>
        <v>1.2262016965127238</v>
      </c>
    </row>
    <row r="3" spans="1:17" x14ac:dyDescent="0.25">
      <c r="A3" s="9">
        <v>43773</v>
      </c>
      <c r="B3" s="5">
        <v>275</v>
      </c>
      <c r="C3" s="12">
        <v>75.12</v>
      </c>
      <c r="D3" s="11">
        <v>27.32</v>
      </c>
      <c r="E3" s="11">
        <f t="shared" si="0"/>
        <v>27.31636363636364</v>
      </c>
      <c r="F3" s="11">
        <v>27.32</v>
      </c>
      <c r="G3" s="11">
        <f t="shared" ref="G3:G66" si="3">C3/B3*100</f>
        <v>27.31636363636364</v>
      </c>
      <c r="K3" s="9">
        <v>43769</v>
      </c>
      <c r="L3" s="5">
        <v>1307</v>
      </c>
      <c r="M3" s="12">
        <v>13</v>
      </c>
      <c r="N3" s="11">
        <v>0.99</v>
      </c>
      <c r="O3" s="11">
        <f t="shared" si="1"/>
        <v>0.99464422341239478</v>
      </c>
      <c r="P3" s="11">
        <v>0.99</v>
      </c>
      <c r="Q3" s="11">
        <f t="shared" si="2"/>
        <v>0.99464422341239478</v>
      </c>
    </row>
    <row r="4" spans="1:17" x14ac:dyDescent="0.25">
      <c r="A4" s="9">
        <v>43769</v>
      </c>
      <c r="B4" s="5">
        <v>776</v>
      </c>
      <c r="C4" s="12">
        <v>211.57</v>
      </c>
      <c r="D4" s="11">
        <v>27.26</v>
      </c>
      <c r="E4" s="11">
        <f t="shared" si="0"/>
        <v>27.26417525773196</v>
      </c>
      <c r="F4" s="11">
        <v>27.26</v>
      </c>
      <c r="G4" s="11">
        <f t="shared" si="3"/>
        <v>27.26417525773196</v>
      </c>
      <c r="K4" s="9">
        <v>43762</v>
      </c>
      <c r="L4" s="5">
        <v>1304</v>
      </c>
      <c r="M4" s="12">
        <v>16.16</v>
      </c>
      <c r="N4" s="11">
        <v>1.24</v>
      </c>
      <c r="O4" s="11">
        <f t="shared" si="1"/>
        <v>1.2392638036809815</v>
      </c>
      <c r="P4" s="11">
        <v>1.24</v>
      </c>
      <c r="Q4" s="11">
        <f t="shared" si="2"/>
        <v>1.2392638036809815</v>
      </c>
    </row>
    <row r="5" spans="1:17" x14ac:dyDescent="0.25">
      <c r="A5" s="9">
        <v>43766</v>
      </c>
      <c r="B5" s="5">
        <v>531</v>
      </c>
      <c r="C5" s="12">
        <v>137</v>
      </c>
      <c r="D5" s="11">
        <v>25.8</v>
      </c>
      <c r="E5" s="11">
        <f t="shared" si="0"/>
        <v>25.800376647834273</v>
      </c>
      <c r="F5" s="11">
        <v>25.8</v>
      </c>
      <c r="G5" s="11">
        <f t="shared" si="3"/>
        <v>25.800376647834273</v>
      </c>
      <c r="K5" s="9">
        <v>43755</v>
      </c>
      <c r="L5" s="5">
        <v>1837</v>
      </c>
      <c r="M5" s="12">
        <v>22.03</v>
      </c>
      <c r="N5" s="11">
        <v>1.2</v>
      </c>
      <c r="O5" s="11">
        <f t="shared" si="1"/>
        <v>1.1992378878606424</v>
      </c>
      <c r="P5" s="11">
        <v>1.2</v>
      </c>
      <c r="Q5" s="11">
        <f t="shared" si="2"/>
        <v>1.1992378878606424</v>
      </c>
    </row>
    <row r="6" spans="1:17" x14ac:dyDescent="0.25">
      <c r="A6" s="9">
        <v>43762</v>
      </c>
      <c r="B6" s="5">
        <v>781</v>
      </c>
      <c r="C6" s="12">
        <v>198.84</v>
      </c>
      <c r="D6" s="11">
        <v>25.46</v>
      </c>
      <c r="E6" s="11">
        <f t="shared" si="0"/>
        <v>25.459667093469911</v>
      </c>
      <c r="F6" s="11">
        <v>25.46</v>
      </c>
      <c r="G6" s="11">
        <f t="shared" si="3"/>
        <v>25.459667093469911</v>
      </c>
      <c r="K6" s="9">
        <v>43746</v>
      </c>
      <c r="L6" s="5">
        <v>632</v>
      </c>
      <c r="M6" s="12">
        <v>9.5500000000000007</v>
      </c>
      <c r="N6" s="11">
        <v>1.51</v>
      </c>
      <c r="O6" s="11">
        <f t="shared" si="1"/>
        <v>1.5110759493670887</v>
      </c>
      <c r="P6" s="11">
        <v>1.51</v>
      </c>
      <c r="Q6" s="11">
        <f t="shared" si="2"/>
        <v>1.5110759493670887</v>
      </c>
    </row>
    <row r="7" spans="1:17" x14ac:dyDescent="0.25">
      <c r="A7" s="9">
        <v>43759</v>
      </c>
      <c r="B7" s="5">
        <v>523</v>
      </c>
      <c r="C7" s="12">
        <v>133.16999999999999</v>
      </c>
      <c r="D7" s="11">
        <v>25.46</v>
      </c>
      <c r="E7" s="11">
        <f t="shared" si="0"/>
        <v>25.46271510516252</v>
      </c>
      <c r="F7" s="11">
        <v>25.46</v>
      </c>
      <c r="G7" s="11">
        <f t="shared" si="3"/>
        <v>25.46271510516252</v>
      </c>
      <c r="K7" s="9">
        <v>43741</v>
      </c>
      <c r="L7" s="5">
        <v>1260</v>
      </c>
      <c r="M7" s="12">
        <v>15.5</v>
      </c>
      <c r="N7" s="11">
        <v>1.23</v>
      </c>
      <c r="O7" s="11">
        <f t="shared" si="1"/>
        <v>1.2301587301587302</v>
      </c>
      <c r="P7" s="11">
        <v>1.23</v>
      </c>
      <c r="Q7" s="11">
        <f t="shared" si="2"/>
        <v>1.2301587301587302</v>
      </c>
    </row>
    <row r="8" spans="1:17" x14ac:dyDescent="0.25">
      <c r="A8" s="9">
        <v>43755</v>
      </c>
      <c r="B8" s="5">
        <v>808</v>
      </c>
      <c r="C8" s="12">
        <v>210.15</v>
      </c>
      <c r="D8" s="11">
        <v>26.01</v>
      </c>
      <c r="E8" s="11">
        <f t="shared" si="0"/>
        <v>26.008663366336631</v>
      </c>
      <c r="F8" s="11">
        <v>26.01</v>
      </c>
      <c r="G8" s="11">
        <f t="shared" si="3"/>
        <v>26.008663366336631</v>
      </c>
      <c r="K8" s="9">
        <v>43734</v>
      </c>
      <c r="L8" s="5">
        <v>1318</v>
      </c>
      <c r="M8" s="12">
        <v>15.2</v>
      </c>
      <c r="N8" s="11">
        <v>1.1499999999999999</v>
      </c>
      <c r="O8" s="11">
        <f t="shared" si="1"/>
        <v>1.1532625189681334</v>
      </c>
      <c r="P8" s="11">
        <v>1.1499999999999999</v>
      </c>
      <c r="Q8" s="11">
        <f t="shared" si="2"/>
        <v>1.1532625189681334</v>
      </c>
    </row>
    <row r="9" spans="1:17" x14ac:dyDescent="0.25">
      <c r="A9" s="9">
        <v>43752</v>
      </c>
      <c r="B9" s="5">
        <v>505</v>
      </c>
      <c r="C9" s="12">
        <v>134.79</v>
      </c>
      <c r="D9" s="11">
        <v>26.69</v>
      </c>
      <c r="E9" s="11">
        <f t="shared" si="0"/>
        <v>26.691089108910887</v>
      </c>
      <c r="F9" s="11">
        <v>26.69</v>
      </c>
      <c r="G9" s="11">
        <f t="shared" si="3"/>
        <v>26.691089108910887</v>
      </c>
      <c r="K9" s="9">
        <v>43727</v>
      </c>
      <c r="L9" s="5">
        <v>2548</v>
      </c>
      <c r="M9" s="12">
        <v>30.16</v>
      </c>
      <c r="N9" s="11">
        <v>1.18</v>
      </c>
      <c r="O9" s="11">
        <f t="shared" si="1"/>
        <v>1.1836734693877551</v>
      </c>
      <c r="P9" s="11">
        <v>1.18</v>
      </c>
      <c r="Q9" s="11">
        <f t="shared" si="2"/>
        <v>1.1836734693877551</v>
      </c>
    </row>
    <row r="10" spans="1:17" x14ac:dyDescent="0.25">
      <c r="A10" s="9">
        <v>43748</v>
      </c>
      <c r="B10" s="5">
        <v>524</v>
      </c>
      <c r="C10" s="12">
        <v>137.01</v>
      </c>
      <c r="D10" s="11">
        <v>26.15</v>
      </c>
      <c r="E10" s="11">
        <f t="shared" si="0"/>
        <v>26.146946564885493</v>
      </c>
      <c r="F10" s="11">
        <v>26.15</v>
      </c>
      <c r="G10" s="11">
        <f t="shared" si="3"/>
        <v>26.146946564885493</v>
      </c>
      <c r="K10" s="9">
        <v>43713</v>
      </c>
      <c r="L10" s="5">
        <v>2520</v>
      </c>
      <c r="M10" s="12">
        <v>29.03</v>
      </c>
      <c r="N10" s="11">
        <v>1.1499999999999999</v>
      </c>
      <c r="O10" s="11">
        <f t="shared" si="1"/>
        <v>1.1519841269841271</v>
      </c>
      <c r="P10" s="11">
        <v>1.1499999999999999</v>
      </c>
      <c r="Q10" s="11">
        <f t="shared" si="2"/>
        <v>1.1519841269841271</v>
      </c>
    </row>
    <row r="11" spans="1:17" x14ac:dyDescent="0.25">
      <c r="A11" s="9">
        <v>43746</v>
      </c>
      <c r="B11" s="5">
        <v>76</v>
      </c>
      <c r="C11" s="12">
        <v>28.17</v>
      </c>
      <c r="D11" s="11">
        <v>37.07</v>
      </c>
      <c r="E11" s="11">
        <f t="shared" si="0"/>
        <v>37.065789473684212</v>
      </c>
      <c r="F11" s="11">
        <v>37.07</v>
      </c>
      <c r="G11" s="11">
        <f t="shared" si="3"/>
        <v>37.065789473684212</v>
      </c>
      <c r="K11" s="9">
        <v>43699</v>
      </c>
      <c r="L11" s="5">
        <v>3494</v>
      </c>
      <c r="M11" s="12">
        <v>45.07</v>
      </c>
      <c r="N11" s="11">
        <v>1.29</v>
      </c>
      <c r="O11" s="11">
        <f t="shared" si="1"/>
        <v>1.2899255867200916</v>
      </c>
      <c r="P11" s="11">
        <v>1.29</v>
      </c>
      <c r="Q11" s="11">
        <f t="shared" si="2"/>
        <v>1.2899255867200916</v>
      </c>
    </row>
    <row r="12" spans="1:17" x14ac:dyDescent="0.25">
      <c r="A12" s="9">
        <v>43744</v>
      </c>
      <c r="B12" s="5">
        <v>556</v>
      </c>
      <c r="C12" s="12">
        <v>190</v>
      </c>
      <c r="D12" s="11">
        <v>34.17</v>
      </c>
      <c r="E12" s="11">
        <f t="shared" si="0"/>
        <v>34.172661870503596</v>
      </c>
      <c r="F12" s="11">
        <v>34.17</v>
      </c>
      <c r="G12" s="11">
        <f t="shared" si="3"/>
        <v>34.172661870503596</v>
      </c>
      <c r="K12" s="9">
        <v>43678</v>
      </c>
      <c r="L12" s="5">
        <v>1270</v>
      </c>
      <c r="M12" s="12">
        <v>16.5</v>
      </c>
      <c r="N12" s="11">
        <v>1.3</v>
      </c>
      <c r="O12" s="11">
        <f t="shared" si="1"/>
        <v>1.2992125984251968</v>
      </c>
      <c r="P12" s="11">
        <v>1.3</v>
      </c>
      <c r="Q12" s="11">
        <f t="shared" si="2"/>
        <v>1.2992125984251968</v>
      </c>
    </row>
    <row r="13" spans="1:17" x14ac:dyDescent="0.25">
      <c r="A13" s="9">
        <v>43741</v>
      </c>
      <c r="B13" s="5">
        <v>194</v>
      </c>
      <c r="C13" s="12">
        <v>80</v>
      </c>
      <c r="D13" s="11">
        <v>41.24</v>
      </c>
      <c r="E13" s="11">
        <f t="shared" si="0"/>
        <v>41.237113402061851</v>
      </c>
      <c r="F13" s="11">
        <v>41.24</v>
      </c>
      <c r="G13" s="11">
        <f t="shared" si="3"/>
        <v>41.237113402061851</v>
      </c>
      <c r="K13" s="9">
        <v>43671</v>
      </c>
      <c r="L13" s="5">
        <v>24</v>
      </c>
      <c r="M13" s="12">
        <v>2.2599999999999998</v>
      </c>
      <c r="N13" s="11">
        <v>9.42</v>
      </c>
      <c r="O13" s="11">
        <f t="shared" si="1"/>
        <v>9.4166666666666661</v>
      </c>
      <c r="P13" s="11"/>
      <c r="Q13" s="11"/>
    </row>
    <row r="14" spans="1:17" x14ac:dyDescent="0.25">
      <c r="A14" s="9">
        <v>43740</v>
      </c>
      <c r="B14" s="5">
        <v>519</v>
      </c>
      <c r="C14" s="12">
        <v>151</v>
      </c>
      <c r="D14" s="11">
        <v>29.09</v>
      </c>
      <c r="E14" s="11">
        <f t="shared" si="0"/>
        <v>29.094412331406549</v>
      </c>
      <c r="F14" s="11">
        <v>29.09</v>
      </c>
      <c r="G14" s="11">
        <f t="shared" si="3"/>
        <v>29.094412331406549</v>
      </c>
      <c r="K14" s="9">
        <v>43670</v>
      </c>
      <c r="L14" s="5">
        <v>775</v>
      </c>
      <c r="M14" s="12">
        <v>12</v>
      </c>
      <c r="N14" s="11">
        <v>1.55</v>
      </c>
      <c r="O14" s="11">
        <f t="shared" si="1"/>
        <v>1.5483870967741935</v>
      </c>
      <c r="P14" s="11">
        <v>1.55</v>
      </c>
      <c r="Q14" s="11">
        <f t="shared" si="2"/>
        <v>1.5483870967741935</v>
      </c>
    </row>
    <row r="15" spans="1:17" x14ac:dyDescent="0.25">
      <c r="A15" s="9">
        <v>43738</v>
      </c>
      <c r="B15" s="5">
        <v>547</v>
      </c>
      <c r="C15" s="12">
        <v>150</v>
      </c>
      <c r="D15" s="11">
        <v>27.42</v>
      </c>
      <c r="E15" s="11">
        <f t="shared" si="0"/>
        <v>27.422303473491773</v>
      </c>
      <c r="F15" s="11">
        <v>27.42</v>
      </c>
      <c r="G15" s="11">
        <f t="shared" si="3"/>
        <v>27.422303473491773</v>
      </c>
      <c r="K15" s="9">
        <v>43666</v>
      </c>
      <c r="L15" s="5">
        <v>591</v>
      </c>
      <c r="M15" s="12">
        <v>9.3000000000000007</v>
      </c>
      <c r="N15" s="11">
        <v>1.57</v>
      </c>
      <c r="O15" s="11">
        <f t="shared" si="1"/>
        <v>1.5736040609137056</v>
      </c>
      <c r="P15" s="11">
        <v>1.57</v>
      </c>
      <c r="Q15" s="11">
        <f t="shared" si="2"/>
        <v>1.5736040609137056</v>
      </c>
    </row>
    <row r="16" spans="1:17" x14ac:dyDescent="0.25">
      <c r="A16" s="9">
        <v>43734</v>
      </c>
      <c r="B16" s="5">
        <v>283</v>
      </c>
      <c r="C16" s="12">
        <v>75</v>
      </c>
      <c r="D16" s="11">
        <v>26.5</v>
      </c>
      <c r="E16" s="11">
        <f t="shared" si="0"/>
        <v>26.501766784452297</v>
      </c>
      <c r="F16" s="11">
        <v>26.5</v>
      </c>
      <c r="G16" s="11">
        <f t="shared" si="3"/>
        <v>26.501766784452297</v>
      </c>
      <c r="K16" s="9">
        <v>43664</v>
      </c>
      <c r="L16" s="5">
        <v>1559</v>
      </c>
      <c r="M16" s="12">
        <v>16.989999999999998</v>
      </c>
      <c r="N16" s="11">
        <v>1.0900000000000001</v>
      </c>
      <c r="O16" s="11">
        <f t="shared" si="1"/>
        <v>1.0898011545862731</v>
      </c>
      <c r="P16" s="11">
        <v>1.0900000000000001</v>
      </c>
      <c r="Q16" s="11">
        <f t="shared" si="2"/>
        <v>1.0898011545862731</v>
      </c>
    </row>
    <row r="17" spans="1:17" x14ac:dyDescent="0.25">
      <c r="A17" s="9">
        <v>43733</v>
      </c>
      <c r="B17" s="5">
        <v>530</v>
      </c>
      <c r="C17" s="12">
        <v>150</v>
      </c>
      <c r="D17" s="11">
        <v>28.3</v>
      </c>
      <c r="E17" s="11">
        <f t="shared" si="0"/>
        <v>28.30188679245283</v>
      </c>
      <c r="F17" s="11">
        <v>28.3</v>
      </c>
      <c r="G17" s="11">
        <f t="shared" si="3"/>
        <v>28.30188679245283</v>
      </c>
      <c r="K17" s="9">
        <v>43656</v>
      </c>
      <c r="L17" s="5">
        <v>2119</v>
      </c>
      <c r="M17" s="12">
        <v>24.08</v>
      </c>
      <c r="N17" s="11">
        <v>1.1399999999999999</v>
      </c>
      <c r="O17" s="11">
        <f t="shared" si="1"/>
        <v>1.1363850873053325</v>
      </c>
      <c r="P17" s="11">
        <v>1.1399999999999999</v>
      </c>
      <c r="Q17" s="11">
        <f t="shared" si="2"/>
        <v>1.1363850873053325</v>
      </c>
    </row>
    <row r="18" spans="1:17" x14ac:dyDescent="0.25">
      <c r="A18" s="9">
        <v>43731</v>
      </c>
      <c r="B18" s="5">
        <v>505</v>
      </c>
      <c r="C18" s="12">
        <v>150.69999999999999</v>
      </c>
      <c r="D18" s="11">
        <v>29.84</v>
      </c>
      <c r="E18" s="11">
        <f t="shared" si="0"/>
        <v>29.841584158415841</v>
      </c>
      <c r="F18" s="11">
        <v>29.84</v>
      </c>
      <c r="G18" s="11">
        <f t="shared" si="3"/>
        <v>29.841584158415841</v>
      </c>
      <c r="K18" s="9">
        <v>43643</v>
      </c>
      <c r="L18" s="5">
        <v>1204</v>
      </c>
      <c r="M18" s="12">
        <v>16.670000000000002</v>
      </c>
      <c r="N18" s="11">
        <v>1.38</v>
      </c>
      <c r="O18" s="11">
        <f t="shared" si="1"/>
        <v>1.3845514950166113</v>
      </c>
      <c r="P18" s="11">
        <v>1.38</v>
      </c>
      <c r="Q18" s="11">
        <f t="shared" si="2"/>
        <v>1.3845514950166113</v>
      </c>
    </row>
    <row r="19" spans="1:17" x14ac:dyDescent="0.25">
      <c r="A19" s="9">
        <v>43727</v>
      </c>
      <c r="B19" s="5">
        <v>774</v>
      </c>
      <c r="C19" s="12">
        <v>205.25</v>
      </c>
      <c r="D19" s="11">
        <v>26.52</v>
      </c>
      <c r="E19" s="11">
        <f t="shared" si="0"/>
        <v>26.518087855297157</v>
      </c>
      <c r="F19" s="11">
        <v>26.52</v>
      </c>
      <c r="G19" s="11">
        <f t="shared" si="3"/>
        <v>26.518087855297157</v>
      </c>
      <c r="K19" s="9">
        <v>43635</v>
      </c>
      <c r="L19" s="5">
        <v>598</v>
      </c>
      <c r="M19" s="12">
        <v>6.02</v>
      </c>
      <c r="N19" s="11">
        <v>1.01</v>
      </c>
      <c r="O19" s="11">
        <f t="shared" si="1"/>
        <v>1.0066889632107021</v>
      </c>
      <c r="P19" s="11">
        <v>1.01</v>
      </c>
      <c r="Q19" s="11">
        <f t="shared" si="2"/>
        <v>1.0066889632107021</v>
      </c>
    </row>
    <row r="20" spans="1:17" x14ac:dyDescent="0.25">
      <c r="A20" s="9">
        <v>43724</v>
      </c>
      <c r="B20" s="5">
        <v>508</v>
      </c>
      <c r="C20" s="12">
        <v>135.88999999999999</v>
      </c>
      <c r="D20" s="11">
        <v>26.75</v>
      </c>
      <c r="E20" s="11">
        <f t="shared" si="0"/>
        <v>26.749999999999996</v>
      </c>
      <c r="F20" s="11">
        <v>26.75</v>
      </c>
      <c r="G20" s="11">
        <f t="shared" si="3"/>
        <v>26.749999999999996</v>
      </c>
      <c r="K20" s="9">
        <v>43622</v>
      </c>
      <c r="L20" s="5">
        <v>1222</v>
      </c>
      <c r="M20" s="12">
        <v>14.24</v>
      </c>
      <c r="N20" s="11">
        <v>1.17</v>
      </c>
      <c r="O20" s="11">
        <f t="shared" si="1"/>
        <v>1.1653027823240589</v>
      </c>
      <c r="P20" s="11">
        <v>1.17</v>
      </c>
      <c r="Q20" s="11">
        <f t="shared" si="2"/>
        <v>1.1653027823240589</v>
      </c>
    </row>
    <row r="21" spans="1:17" x14ac:dyDescent="0.25">
      <c r="A21" s="9">
        <v>43720</v>
      </c>
      <c r="B21" s="5">
        <v>755</v>
      </c>
      <c r="C21" s="12">
        <v>195.77</v>
      </c>
      <c r="D21" s="11">
        <v>25.93</v>
      </c>
      <c r="E21" s="11">
        <f t="shared" si="0"/>
        <v>25.929801324503309</v>
      </c>
      <c r="F21" s="11">
        <v>25.93</v>
      </c>
      <c r="G21" s="11">
        <f t="shared" si="3"/>
        <v>25.929801324503309</v>
      </c>
      <c r="K21" s="9">
        <v>43614</v>
      </c>
      <c r="L21" s="5">
        <v>988</v>
      </c>
      <c r="M21" s="12">
        <v>12.44</v>
      </c>
      <c r="N21" s="11">
        <v>1.26</v>
      </c>
      <c r="O21" s="11">
        <f t="shared" si="1"/>
        <v>1.2591093117408907</v>
      </c>
      <c r="P21" s="11">
        <v>1.26</v>
      </c>
      <c r="Q21" s="11">
        <f t="shared" si="2"/>
        <v>1.2591093117408907</v>
      </c>
    </row>
    <row r="22" spans="1:17" x14ac:dyDescent="0.25">
      <c r="A22" s="9">
        <v>43717</v>
      </c>
      <c r="B22" s="5">
        <v>511</v>
      </c>
      <c r="C22" s="12">
        <v>124.37</v>
      </c>
      <c r="D22" s="11">
        <v>24.34</v>
      </c>
      <c r="E22" s="11">
        <f t="shared" si="0"/>
        <v>24.338551859099805</v>
      </c>
      <c r="F22" s="11">
        <v>24.34</v>
      </c>
      <c r="G22" s="11">
        <f t="shared" si="3"/>
        <v>24.338551859099805</v>
      </c>
      <c r="K22" s="9">
        <v>43608</v>
      </c>
      <c r="L22" s="5">
        <v>1201</v>
      </c>
      <c r="M22" s="12">
        <v>15.42</v>
      </c>
      <c r="N22" s="11">
        <v>1.28</v>
      </c>
      <c r="O22" s="11">
        <f t="shared" si="1"/>
        <v>1.2839300582847628</v>
      </c>
      <c r="P22" s="11">
        <v>1.28</v>
      </c>
      <c r="Q22" s="11">
        <f t="shared" si="2"/>
        <v>1.2839300582847628</v>
      </c>
    </row>
    <row r="23" spans="1:17" x14ac:dyDescent="0.25">
      <c r="A23" s="9">
        <v>43713</v>
      </c>
      <c r="B23" s="5">
        <v>763</v>
      </c>
      <c r="C23" s="12">
        <v>189.93</v>
      </c>
      <c r="D23" s="11">
        <v>24.89</v>
      </c>
      <c r="E23" s="11">
        <f t="shared" si="0"/>
        <v>24.892529488859765</v>
      </c>
      <c r="F23" s="11">
        <v>24.89</v>
      </c>
      <c r="G23" s="11">
        <f t="shared" si="3"/>
        <v>24.892529488859765</v>
      </c>
      <c r="K23" s="9">
        <v>43601</v>
      </c>
      <c r="L23" s="5">
        <v>1943</v>
      </c>
      <c r="M23" s="12">
        <v>24.19</v>
      </c>
      <c r="N23" s="11">
        <v>1.24</v>
      </c>
      <c r="O23" s="11">
        <f t="shared" si="1"/>
        <v>1.2449819866186311</v>
      </c>
      <c r="P23" s="11">
        <v>1.24</v>
      </c>
      <c r="Q23" s="11">
        <f t="shared" si="2"/>
        <v>1.2449819866186311</v>
      </c>
    </row>
    <row r="24" spans="1:17" x14ac:dyDescent="0.25">
      <c r="A24" s="9">
        <v>43710</v>
      </c>
      <c r="B24" s="5">
        <v>499</v>
      </c>
      <c r="C24" s="12">
        <v>123.46</v>
      </c>
      <c r="D24" s="11">
        <v>24.74</v>
      </c>
      <c r="E24" s="11">
        <f t="shared" si="0"/>
        <v>24.741482965931862</v>
      </c>
      <c r="F24" s="11">
        <v>24.74</v>
      </c>
      <c r="G24" s="11">
        <f t="shared" si="3"/>
        <v>24.741482965931862</v>
      </c>
      <c r="K24" s="9">
        <v>43591</v>
      </c>
      <c r="L24" s="5">
        <v>373</v>
      </c>
      <c r="M24" s="12">
        <v>6.59</v>
      </c>
      <c r="N24" s="11">
        <v>1.77</v>
      </c>
      <c r="O24" s="11">
        <f t="shared" si="1"/>
        <v>1.7667560321715816</v>
      </c>
      <c r="P24" s="11">
        <v>1.77</v>
      </c>
      <c r="Q24" s="11">
        <f t="shared" si="2"/>
        <v>1.7667560321715816</v>
      </c>
    </row>
    <row r="25" spans="1:17" x14ac:dyDescent="0.25">
      <c r="A25" s="9">
        <v>43706</v>
      </c>
      <c r="B25" s="5">
        <v>741</v>
      </c>
      <c r="C25" s="12">
        <v>189.37</v>
      </c>
      <c r="D25" s="11">
        <v>25.56</v>
      </c>
      <c r="E25" s="11">
        <f t="shared" si="0"/>
        <v>25.55600539811066</v>
      </c>
      <c r="F25" s="11">
        <v>25.56</v>
      </c>
      <c r="G25" s="11">
        <f t="shared" si="3"/>
        <v>25.55600539811066</v>
      </c>
      <c r="K25" s="9">
        <v>43587</v>
      </c>
      <c r="L25" s="5">
        <v>1132</v>
      </c>
      <c r="M25" s="12">
        <v>14.87</v>
      </c>
      <c r="N25" s="11">
        <v>1.31</v>
      </c>
      <c r="O25" s="11">
        <f t="shared" si="1"/>
        <v>1.3136042402826853</v>
      </c>
      <c r="P25" s="11">
        <v>1.31</v>
      </c>
      <c r="Q25" s="11">
        <f t="shared" si="2"/>
        <v>1.3136042402826853</v>
      </c>
    </row>
    <row r="26" spans="1:17" x14ac:dyDescent="0.25">
      <c r="A26" s="9">
        <v>43703</v>
      </c>
      <c r="B26" s="5">
        <v>517</v>
      </c>
      <c r="C26" s="12">
        <v>119.71</v>
      </c>
      <c r="D26" s="11">
        <v>23.15</v>
      </c>
      <c r="E26" s="11">
        <f t="shared" si="0"/>
        <v>23.154738878143132</v>
      </c>
      <c r="F26" s="11">
        <v>23.15</v>
      </c>
      <c r="G26" s="11">
        <f t="shared" si="3"/>
        <v>23.154738878143132</v>
      </c>
      <c r="K26" s="9">
        <v>43580</v>
      </c>
      <c r="L26" s="5">
        <v>1574</v>
      </c>
      <c r="M26" s="12">
        <v>18.55</v>
      </c>
      <c r="N26" s="11">
        <v>1.18</v>
      </c>
      <c r="O26" s="11">
        <f t="shared" si="1"/>
        <v>1.1785260482846251</v>
      </c>
      <c r="P26" s="11">
        <v>1.18</v>
      </c>
      <c r="Q26" s="11">
        <f t="shared" si="2"/>
        <v>1.1785260482846251</v>
      </c>
    </row>
    <row r="27" spans="1:17" x14ac:dyDescent="0.25">
      <c r="A27" s="9">
        <v>43699</v>
      </c>
      <c r="B27" s="5">
        <v>745</v>
      </c>
      <c r="C27" s="12">
        <v>180.07</v>
      </c>
      <c r="D27" s="11">
        <v>24.17</v>
      </c>
      <c r="E27" s="11">
        <f t="shared" si="0"/>
        <v>24.170469798657717</v>
      </c>
      <c r="F27" s="11">
        <v>24.17</v>
      </c>
      <c r="G27" s="11">
        <f t="shared" si="3"/>
        <v>24.170469798657717</v>
      </c>
      <c r="K27" s="9">
        <v>43570</v>
      </c>
      <c r="L27" s="5">
        <v>528</v>
      </c>
      <c r="M27" s="12">
        <v>6.67</v>
      </c>
      <c r="N27" s="11">
        <v>1.26</v>
      </c>
      <c r="O27" s="11">
        <f t="shared" si="1"/>
        <v>1.2632575757575757</v>
      </c>
      <c r="P27" s="11">
        <v>1.26</v>
      </c>
      <c r="Q27" s="11">
        <f t="shared" si="2"/>
        <v>1.2632575757575757</v>
      </c>
    </row>
    <row r="28" spans="1:17" x14ac:dyDescent="0.25">
      <c r="A28" s="9">
        <v>43696</v>
      </c>
      <c r="B28" s="5">
        <v>496</v>
      </c>
      <c r="C28" s="12">
        <v>119.33</v>
      </c>
      <c r="D28" s="11">
        <v>24.06</v>
      </c>
      <c r="E28" s="11">
        <f t="shared" si="0"/>
        <v>24.058467741935484</v>
      </c>
      <c r="F28" s="11">
        <v>24.06</v>
      </c>
      <c r="G28" s="11">
        <f t="shared" si="3"/>
        <v>24.058467741935484</v>
      </c>
      <c r="K28" s="9">
        <v>43566</v>
      </c>
      <c r="L28" s="5">
        <v>1222</v>
      </c>
      <c r="M28" s="12">
        <v>13.59</v>
      </c>
      <c r="N28" s="11">
        <v>1.1100000000000001</v>
      </c>
      <c r="O28" s="11">
        <f t="shared" si="1"/>
        <v>1.1121112929623569</v>
      </c>
      <c r="P28" s="11">
        <v>1.1100000000000001</v>
      </c>
      <c r="Q28" s="11">
        <f t="shared" si="2"/>
        <v>1.1121112929623569</v>
      </c>
    </row>
    <row r="29" spans="1:17" x14ac:dyDescent="0.25">
      <c r="A29" s="9">
        <v>43691</v>
      </c>
      <c r="B29" s="5">
        <v>497</v>
      </c>
      <c r="C29" s="12">
        <v>118.95</v>
      </c>
      <c r="D29" s="11">
        <v>23.93</v>
      </c>
      <c r="E29" s="11">
        <f t="shared" si="0"/>
        <v>23.933601609657948</v>
      </c>
      <c r="F29" s="11">
        <v>23.93</v>
      </c>
      <c r="G29" s="11">
        <f t="shared" si="3"/>
        <v>23.933601609657948</v>
      </c>
      <c r="K29" s="9">
        <v>43559</v>
      </c>
      <c r="L29" s="5">
        <v>1237</v>
      </c>
      <c r="M29" s="12">
        <v>15.97</v>
      </c>
      <c r="N29" s="11">
        <v>1.29</v>
      </c>
      <c r="O29" s="11">
        <f t="shared" si="1"/>
        <v>1.2910266774454326</v>
      </c>
      <c r="P29" s="11">
        <v>1.29</v>
      </c>
      <c r="Q29" s="11">
        <f t="shared" si="2"/>
        <v>1.2910266774454326</v>
      </c>
    </row>
    <row r="30" spans="1:17" x14ac:dyDescent="0.25">
      <c r="A30" s="9">
        <v>43689</v>
      </c>
      <c r="B30" s="5">
        <v>506</v>
      </c>
      <c r="C30" s="12">
        <v>126.68</v>
      </c>
      <c r="D30" s="11">
        <v>25.04</v>
      </c>
      <c r="E30" s="11">
        <f t="shared" si="0"/>
        <v>25.035573122529648</v>
      </c>
      <c r="F30" s="11">
        <v>25.04</v>
      </c>
      <c r="G30" s="11">
        <f t="shared" si="3"/>
        <v>25.035573122529648</v>
      </c>
      <c r="K30" s="9">
        <v>43552</v>
      </c>
      <c r="L30" s="5">
        <v>2469</v>
      </c>
      <c r="M30" s="12">
        <v>32.32</v>
      </c>
      <c r="N30" s="11">
        <v>1.31</v>
      </c>
      <c r="O30" s="11">
        <f t="shared" si="1"/>
        <v>1.3090319967598218</v>
      </c>
      <c r="P30" s="11">
        <v>1.31</v>
      </c>
      <c r="Q30" s="11">
        <f t="shared" si="2"/>
        <v>1.3090319967598218</v>
      </c>
    </row>
    <row r="31" spans="1:17" x14ac:dyDescent="0.25">
      <c r="A31" s="9">
        <v>43685</v>
      </c>
      <c r="B31" s="5">
        <v>732</v>
      </c>
      <c r="C31" s="12">
        <v>184.81</v>
      </c>
      <c r="D31" s="11">
        <v>25.25</v>
      </c>
      <c r="E31" s="11">
        <f t="shared" si="0"/>
        <v>25.247267759562842</v>
      </c>
      <c r="F31" s="11">
        <v>25.25</v>
      </c>
      <c r="G31" s="11">
        <f t="shared" si="3"/>
        <v>25.247267759562842</v>
      </c>
      <c r="K31" s="9">
        <v>43538</v>
      </c>
      <c r="L31" s="5">
        <v>1154</v>
      </c>
      <c r="M31" s="12">
        <v>16.149999999999999</v>
      </c>
      <c r="N31" s="11">
        <v>1.4</v>
      </c>
      <c r="O31" s="11">
        <f t="shared" si="1"/>
        <v>1.3994800693240901</v>
      </c>
      <c r="P31" s="11">
        <v>1.4</v>
      </c>
      <c r="Q31" s="11">
        <f t="shared" si="2"/>
        <v>1.3994800693240901</v>
      </c>
    </row>
    <row r="32" spans="1:17" x14ac:dyDescent="0.25">
      <c r="A32" s="9">
        <v>43682</v>
      </c>
      <c r="B32" s="5">
        <v>518</v>
      </c>
      <c r="C32" s="12">
        <v>133.99</v>
      </c>
      <c r="D32" s="11">
        <v>25.87</v>
      </c>
      <c r="E32" s="11">
        <f t="shared" si="0"/>
        <v>25.866795366795369</v>
      </c>
      <c r="F32" s="11">
        <v>25.87</v>
      </c>
      <c r="G32" s="11">
        <f t="shared" si="3"/>
        <v>25.866795366795369</v>
      </c>
      <c r="K32" s="9">
        <v>43531</v>
      </c>
      <c r="L32" s="5">
        <v>1130</v>
      </c>
      <c r="M32" s="12">
        <v>14.94</v>
      </c>
      <c r="N32" s="11">
        <v>1.32</v>
      </c>
      <c r="O32" s="11">
        <f t="shared" si="1"/>
        <v>1.3221238938053097</v>
      </c>
      <c r="P32" s="11">
        <v>1.32</v>
      </c>
      <c r="Q32" s="11">
        <f t="shared" si="2"/>
        <v>1.3221238938053097</v>
      </c>
    </row>
    <row r="33" spans="1:19" x14ac:dyDescent="0.25">
      <c r="A33" s="9">
        <v>43678</v>
      </c>
      <c r="B33" s="5">
        <v>751</v>
      </c>
      <c r="C33" s="12">
        <v>205.21</v>
      </c>
      <c r="D33" s="11">
        <v>27.32</v>
      </c>
      <c r="E33" s="11">
        <f t="shared" si="0"/>
        <v>27.324900133155793</v>
      </c>
      <c r="F33" s="11">
        <v>27.32</v>
      </c>
      <c r="G33" s="11">
        <f t="shared" si="3"/>
        <v>27.324900133155793</v>
      </c>
      <c r="K33" s="9">
        <v>43524</v>
      </c>
      <c r="L33" s="5">
        <v>1167</v>
      </c>
      <c r="M33" s="12">
        <v>11.42</v>
      </c>
      <c r="N33" s="11">
        <v>0.98</v>
      </c>
      <c r="O33" s="11">
        <f t="shared" si="1"/>
        <v>0.97857754927163665</v>
      </c>
      <c r="P33" s="11">
        <v>0.98</v>
      </c>
      <c r="Q33" s="11">
        <f t="shared" si="2"/>
        <v>0.97857754927163665</v>
      </c>
    </row>
    <row r="34" spans="1:19" x14ac:dyDescent="0.25">
      <c r="A34" s="9">
        <v>43675</v>
      </c>
      <c r="B34" s="5">
        <v>519</v>
      </c>
      <c r="C34" s="12">
        <v>155.25</v>
      </c>
      <c r="D34" s="11">
        <v>29.91</v>
      </c>
      <c r="E34" s="11">
        <f t="shared" si="0"/>
        <v>29.913294797687861</v>
      </c>
      <c r="F34" s="11">
        <v>29.91</v>
      </c>
      <c r="G34" s="11">
        <f t="shared" si="3"/>
        <v>29.913294797687861</v>
      </c>
      <c r="K34" s="9">
        <v>43517</v>
      </c>
      <c r="L34" s="5">
        <v>1154</v>
      </c>
      <c r="M34" s="12">
        <v>13.82</v>
      </c>
      <c r="N34" s="11">
        <v>1.2</v>
      </c>
      <c r="O34" s="11">
        <f t="shared" ref="O34:O65" si="4">M34/L34*100</f>
        <v>1.1975736568457538</v>
      </c>
      <c r="P34" s="11">
        <v>1.2</v>
      </c>
      <c r="Q34" s="11">
        <f t="shared" si="2"/>
        <v>1.1975736568457538</v>
      </c>
    </row>
    <row r="35" spans="1:19" x14ac:dyDescent="0.25">
      <c r="A35" s="9">
        <v>43671</v>
      </c>
      <c r="B35" s="5">
        <v>24</v>
      </c>
      <c r="C35" s="12">
        <v>17.489999999999998</v>
      </c>
      <c r="D35" s="11">
        <v>72.88</v>
      </c>
      <c r="E35" s="11">
        <f t="shared" si="0"/>
        <v>72.874999999999986</v>
      </c>
      <c r="F35" s="11"/>
      <c r="G35" s="11"/>
      <c r="K35" s="9">
        <v>43510</v>
      </c>
      <c r="L35" s="5">
        <v>1137</v>
      </c>
      <c r="M35" s="12">
        <v>13.63</v>
      </c>
      <c r="N35" s="11">
        <v>1.2</v>
      </c>
      <c r="O35" s="11">
        <f t="shared" si="4"/>
        <v>1.1987686895338612</v>
      </c>
      <c r="P35" s="11">
        <v>1.2</v>
      </c>
      <c r="Q35" s="11">
        <f t="shared" si="2"/>
        <v>1.1987686895338612</v>
      </c>
    </row>
    <row r="36" spans="1:19" x14ac:dyDescent="0.25">
      <c r="A36" s="9">
        <v>43670</v>
      </c>
      <c r="B36" s="5">
        <v>775</v>
      </c>
      <c r="C36" s="12">
        <v>84</v>
      </c>
      <c r="D36" s="11">
        <v>10.84</v>
      </c>
      <c r="E36" s="11">
        <f t="shared" si="0"/>
        <v>10.838709677419354</v>
      </c>
      <c r="F36" s="11"/>
      <c r="G36" s="11"/>
      <c r="K36" s="9">
        <v>43503</v>
      </c>
      <c r="L36" s="5">
        <v>1148</v>
      </c>
      <c r="M36" s="12">
        <v>14.57</v>
      </c>
      <c r="N36" s="11">
        <v>1.27</v>
      </c>
      <c r="O36" s="11">
        <f t="shared" si="4"/>
        <v>1.269163763066202</v>
      </c>
      <c r="P36" s="11">
        <v>1.27</v>
      </c>
      <c r="Q36" s="11">
        <f t="shared" si="2"/>
        <v>1.269163763066202</v>
      </c>
    </row>
    <row r="37" spans="1:19" x14ac:dyDescent="0.25">
      <c r="A37" s="9">
        <v>43666</v>
      </c>
      <c r="B37" s="5">
        <v>245</v>
      </c>
      <c r="C37" s="12">
        <v>72.48</v>
      </c>
      <c r="D37" s="11">
        <v>29.58</v>
      </c>
      <c r="E37" s="11">
        <f t="shared" si="0"/>
        <v>29.583673469387755</v>
      </c>
      <c r="F37" s="11">
        <v>29.58</v>
      </c>
      <c r="G37" s="11">
        <f t="shared" si="3"/>
        <v>29.583673469387755</v>
      </c>
      <c r="K37" s="9">
        <v>43496</v>
      </c>
      <c r="L37" s="5">
        <v>1155</v>
      </c>
      <c r="M37" s="12">
        <v>14.34</v>
      </c>
      <c r="N37" s="11">
        <v>1.24</v>
      </c>
      <c r="O37" s="11">
        <f t="shared" si="4"/>
        <v>1.2415584415584415</v>
      </c>
      <c r="P37" s="11">
        <v>1.24</v>
      </c>
      <c r="Q37" s="11">
        <f t="shared" si="2"/>
        <v>1.2415584415584415</v>
      </c>
    </row>
    <row r="38" spans="1:19" x14ac:dyDescent="0.25">
      <c r="A38" s="9">
        <v>43665</v>
      </c>
      <c r="B38" s="5">
        <v>346</v>
      </c>
      <c r="C38" s="12">
        <v>106</v>
      </c>
      <c r="D38" s="11">
        <v>30.64</v>
      </c>
      <c r="E38" s="11">
        <f t="shared" si="0"/>
        <v>30.635838150289018</v>
      </c>
      <c r="F38" s="11">
        <v>30.64</v>
      </c>
      <c r="G38" s="11">
        <f t="shared" si="3"/>
        <v>30.635838150289018</v>
      </c>
      <c r="K38" s="9">
        <v>43489</v>
      </c>
      <c r="L38" s="5">
        <v>1617</v>
      </c>
      <c r="M38" s="12">
        <v>20.38</v>
      </c>
      <c r="N38" s="11">
        <v>1.26</v>
      </c>
      <c r="O38" s="11">
        <f t="shared" si="4"/>
        <v>1.2603586889301175</v>
      </c>
      <c r="P38" s="11">
        <v>1.26</v>
      </c>
      <c r="Q38" s="11">
        <f t="shared" si="2"/>
        <v>1.2603586889301175</v>
      </c>
    </row>
    <row r="39" spans="1:19" x14ac:dyDescent="0.25">
      <c r="A39" s="9">
        <v>43664</v>
      </c>
      <c r="B39" s="5">
        <v>779</v>
      </c>
      <c r="C39" s="12">
        <v>202.32</v>
      </c>
      <c r="D39" s="11">
        <v>25.97</v>
      </c>
      <c r="E39" s="11">
        <f t="shared" si="0"/>
        <v>25.971758664955068</v>
      </c>
      <c r="F39" s="11">
        <v>25.97</v>
      </c>
      <c r="G39" s="11">
        <f t="shared" si="3"/>
        <v>25.971758664955068</v>
      </c>
      <c r="K39" s="9">
        <v>43468</v>
      </c>
      <c r="L39" s="5">
        <v>1101</v>
      </c>
      <c r="M39" s="12">
        <v>12.48</v>
      </c>
      <c r="N39" s="11">
        <v>1.1299999999999999</v>
      </c>
      <c r="O39" s="11">
        <f t="shared" si="4"/>
        <v>1.1335149863760219</v>
      </c>
      <c r="P39" s="11">
        <v>1.1299999999999999</v>
      </c>
      <c r="Q39" s="11">
        <f t="shared" si="2"/>
        <v>1.1335149863760219</v>
      </c>
    </row>
    <row r="40" spans="1:19" x14ac:dyDescent="0.25">
      <c r="A40" s="9">
        <v>43661</v>
      </c>
      <c r="B40" s="5">
        <v>780</v>
      </c>
      <c r="C40" s="12">
        <v>195</v>
      </c>
      <c r="D40" s="11">
        <v>25</v>
      </c>
      <c r="E40" s="11">
        <f t="shared" si="0"/>
        <v>25</v>
      </c>
      <c r="F40" s="11">
        <v>25</v>
      </c>
      <c r="G40" s="11">
        <f t="shared" si="3"/>
        <v>25</v>
      </c>
      <c r="K40" s="9">
        <v>43454</v>
      </c>
      <c r="L40" s="5">
        <v>1165</v>
      </c>
      <c r="M40" s="12">
        <v>13.79</v>
      </c>
      <c r="N40" s="11">
        <v>1.18</v>
      </c>
      <c r="O40" s="11">
        <f t="shared" si="4"/>
        <v>1.1836909871244634</v>
      </c>
      <c r="P40" s="11">
        <v>1.18</v>
      </c>
      <c r="Q40" s="11">
        <f t="shared" si="2"/>
        <v>1.1836909871244634</v>
      </c>
    </row>
    <row r="41" spans="1:19" x14ac:dyDescent="0.25">
      <c r="A41" s="9">
        <v>43656</v>
      </c>
      <c r="B41" s="5">
        <v>486</v>
      </c>
      <c r="C41" s="12">
        <v>126.46</v>
      </c>
      <c r="D41" s="11">
        <v>26.02</v>
      </c>
      <c r="E41" s="11">
        <f t="shared" si="0"/>
        <v>26.020576131687239</v>
      </c>
      <c r="F41" s="11">
        <v>26.02</v>
      </c>
      <c r="G41" s="11">
        <f t="shared" si="3"/>
        <v>26.020576131687239</v>
      </c>
      <c r="K41" s="9">
        <v>43447</v>
      </c>
      <c r="L41" s="5">
        <v>1184</v>
      </c>
      <c r="M41" s="12">
        <v>14.01</v>
      </c>
      <c r="N41" s="11">
        <v>1.18</v>
      </c>
      <c r="O41" s="11">
        <f t="shared" si="4"/>
        <v>1.1832770270270272</v>
      </c>
      <c r="P41" s="11">
        <v>1.18</v>
      </c>
      <c r="Q41" s="11">
        <f t="shared" si="2"/>
        <v>1.1832770270270272</v>
      </c>
    </row>
    <row r="42" spans="1:19" x14ac:dyDescent="0.25">
      <c r="A42" s="9">
        <v>43654</v>
      </c>
      <c r="B42" s="5">
        <v>461</v>
      </c>
      <c r="C42" s="12">
        <v>125.65</v>
      </c>
      <c r="D42" s="11">
        <v>27.26</v>
      </c>
      <c r="E42" s="11">
        <f t="shared" si="0"/>
        <v>27.255965292841651</v>
      </c>
      <c r="F42" s="11">
        <v>27.26</v>
      </c>
      <c r="G42" s="11">
        <f t="shared" si="3"/>
        <v>27.255965292841651</v>
      </c>
      <c r="K42" s="9">
        <v>43440</v>
      </c>
      <c r="L42" s="5">
        <v>1233</v>
      </c>
      <c r="M42" s="12">
        <v>16.25</v>
      </c>
      <c r="N42" s="11">
        <v>1.32</v>
      </c>
      <c r="O42" s="11">
        <f t="shared" si="4"/>
        <v>1.3179237631792378</v>
      </c>
      <c r="P42" s="11">
        <v>1.32</v>
      </c>
      <c r="Q42" s="11">
        <f t="shared" si="2"/>
        <v>1.3179237631792378</v>
      </c>
    </row>
    <row r="43" spans="1:19" x14ac:dyDescent="0.25">
      <c r="A43" s="9">
        <v>43650</v>
      </c>
      <c r="B43" s="5">
        <v>701</v>
      </c>
      <c r="C43" s="12">
        <v>184.96</v>
      </c>
      <c r="D43" s="11">
        <v>26.39</v>
      </c>
      <c r="E43" s="11">
        <f t="shared" si="0"/>
        <v>26.385164051355208</v>
      </c>
      <c r="F43" s="11">
        <v>26.39</v>
      </c>
      <c r="G43" s="11">
        <f t="shared" si="3"/>
        <v>26.385164051355208</v>
      </c>
      <c r="K43" s="9">
        <v>43432</v>
      </c>
      <c r="L43" s="5">
        <v>1125</v>
      </c>
      <c r="M43" s="12">
        <v>18.32</v>
      </c>
      <c r="N43" s="11">
        <v>1.63</v>
      </c>
      <c r="O43" s="11">
        <f t="shared" si="4"/>
        <v>1.6284444444444446</v>
      </c>
      <c r="P43" s="11">
        <v>1.63</v>
      </c>
      <c r="Q43" s="11">
        <f t="shared" si="2"/>
        <v>1.6284444444444446</v>
      </c>
      <c r="R43" s="27">
        <v>43405</v>
      </c>
      <c r="S43" s="26">
        <f>AVERAGE(Q43:Q45)</f>
        <v>1.1066006838212143</v>
      </c>
    </row>
    <row r="44" spans="1:19" x14ac:dyDescent="0.25">
      <c r="A44" s="9">
        <v>43647</v>
      </c>
      <c r="B44" s="5">
        <v>471</v>
      </c>
      <c r="C44" s="12">
        <v>125.15</v>
      </c>
      <c r="D44" s="11">
        <v>26.57</v>
      </c>
      <c r="E44" s="11">
        <f t="shared" si="0"/>
        <v>26.57112526539278</v>
      </c>
      <c r="F44" s="11">
        <v>26.57</v>
      </c>
      <c r="G44" s="11">
        <f t="shared" si="3"/>
        <v>26.57112526539278</v>
      </c>
      <c r="K44" s="9">
        <v>43425</v>
      </c>
      <c r="L44" s="5">
        <v>1786</v>
      </c>
      <c r="M44" s="12">
        <v>17</v>
      </c>
      <c r="N44" s="11">
        <v>0.95</v>
      </c>
      <c r="O44" s="11">
        <f t="shared" si="4"/>
        <v>0.95184770436730126</v>
      </c>
      <c r="P44" s="11">
        <v>0.95</v>
      </c>
      <c r="Q44" s="11">
        <f t="shared" si="2"/>
        <v>0.95184770436730126</v>
      </c>
      <c r="R44" s="25"/>
      <c r="S44" s="26"/>
    </row>
    <row r="45" spans="1:19" x14ac:dyDescent="0.25">
      <c r="A45" s="9">
        <v>43643</v>
      </c>
      <c r="B45" s="5">
        <v>720</v>
      </c>
      <c r="C45" s="12">
        <v>194.97</v>
      </c>
      <c r="D45" s="11">
        <v>27.08</v>
      </c>
      <c r="E45" s="11">
        <f t="shared" si="0"/>
        <v>27.079166666666666</v>
      </c>
      <c r="F45" s="11">
        <v>27.08</v>
      </c>
      <c r="G45" s="11">
        <f t="shared" si="3"/>
        <v>27.079166666666666</v>
      </c>
      <c r="K45" s="9">
        <v>43412</v>
      </c>
      <c r="L45" s="5">
        <v>2979</v>
      </c>
      <c r="M45" s="12">
        <v>22.03</v>
      </c>
      <c r="N45" s="11">
        <v>0.74</v>
      </c>
      <c r="O45" s="11">
        <f t="shared" si="4"/>
        <v>0.73950990265189664</v>
      </c>
      <c r="P45" s="11">
        <v>0.74</v>
      </c>
      <c r="Q45" s="11">
        <f t="shared" si="2"/>
        <v>0.73950990265189664</v>
      </c>
      <c r="R45" s="25"/>
      <c r="S45" s="26"/>
    </row>
    <row r="46" spans="1:19" x14ac:dyDescent="0.25">
      <c r="A46" s="9">
        <v>43640</v>
      </c>
      <c r="B46" s="5">
        <v>484</v>
      </c>
      <c r="C46" s="12">
        <v>111.44</v>
      </c>
      <c r="D46" s="11">
        <v>23.02</v>
      </c>
      <c r="E46" s="11">
        <f t="shared" si="0"/>
        <v>23.02479338842975</v>
      </c>
      <c r="F46" s="11">
        <v>23.02</v>
      </c>
      <c r="G46" s="11">
        <f t="shared" si="3"/>
        <v>23.02479338842975</v>
      </c>
      <c r="K46" s="9">
        <v>43391</v>
      </c>
      <c r="L46" s="5">
        <v>1224</v>
      </c>
      <c r="M46" s="12">
        <v>15</v>
      </c>
      <c r="N46" s="11">
        <v>1.23</v>
      </c>
      <c r="O46" s="11">
        <f t="shared" si="4"/>
        <v>1.2254901960784315</v>
      </c>
      <c r="P46" s="11">
        <v>1.23</v>
      </c>
      <c r="Q46" s="11">
        <f t="shared" si="2"/>
        <v>1.2254901960784315</v>
      </c>
    </row>
    <row r="47" spans="1:19" x14ac:dyDescent="0.25">
      <c r="A47" s="9">
        <v>43635</v>
      </c>
      <c r="B47" s="5">
        <v>326</v>
      </c>
      <c r="C47" s="12">
        <v>88.84</v>
      </c>
      <c r="D47" s="11">
        <v>27.25</v>
      </c>
      <c r="E47" s="11">
        <f t="shared" si="0"/>
        <v>27.25153374233129</v>
      </c>
      <c r="F47" s="11">
        <v>27.25</v>
      </c>
      <c r="G47" s="11">
        <f t="shared" si="3"/>
        <v>27.25153374233129</v>
      </c>
      <c r="K47" s="9">
        <v>43384</v>
      </c>
      <c r="L47" s="5">
        <v>2119</v>
      </c>
      <c r="M47" s="12">
        <v>24.4</v>
      </c>
      <c r="N47" s="11">
        <v>1.1499999999999999</v>
      </c>
      <c r="O47" s="11">
        <f t="shared" si="4"/>
        <v>1.1514865502595564</v>
      </c>
      <c r="P47" s="11">
        <v>1.1499999999999999</v>
      </c>
      <c r="Q47" s="11">
        <f t="shared" si="2"/>
        <v>1.1514865502595564</v>
      </c>
    </row>
    <row r="48" spans="1:19" x14ac:dyDescent="0.25">
      <c r="A48" s="9">
        <v>43623</v>
      </c>
      <c r="B48" s="5">
        <v>272</v>
      </c>
      <c r="C48" s="12">
        <v>77</v>
      </c>
      <c r="D48" s="11">
        <v>28.31</v>
      </c>
      <c r="E48" s="11">
        <f t="shared" si="0"/>
        <v>28.308823529411764</v>
      </c>
      <c r="F48" s="11">
        <v>28.31</v>
      </c>
      <c r="G48" s="11">
        <f t="shared" si="3"/>
        <v>28.308823529411764</v>
      </c>
      <c r="K48" s="9">
        <v>43370</v>
      </c>
      <c r="L48" s="5">
        <v>1158</v>
      </c>
      <c r="M48" s="12">
        <v>12.97</v>
      </c>
      <c r="N48" s="11">
        <v>1.1200000000000001</v>
      </c>
      <c r="O48" s="11">
        <f t="shared" si="4"/>
        <v>1.120034542314335</v>
      </c>
      <c r="P48" s="11">
        <v>1.1200000000000001</v>
      </c>
      <c r="Q48" s="11">
        <f t="shared" si="2"/>
        <v>1.120034542314335</v>
      </c>
    </row>
    <row r="49" spans="1:17" x14ac:dyDescent="0.25">
      <c r="A49" s="9">
        <v>43622</v>
      </c>
      <c r="B49" s="5">
        <v>734</v>
      </c>
      <c r="C49" s="12">
        <v>188.12</v>
      </c>
      <c r="D49" s="11">
        <v>25.63</v>
      </c>
      <c r="E49" s="11">
        <f t="shared" si="0"/>
        <v>25.629427792915532</v>
      </c>
      <c r="F49" s="11">
        <v>25.63</v>
      </c>
      <c r="G49" s="11">
        <f t="shared" si="3"/>
        <v>25.629427792915532</v>
      </c>
      <c r="K49" s="9">
        <v>43363</v>
      </c>
      <c r="L49" s="5">
        <v>492</v>
      </c>
      <c r="M49" s="12">
        <v>6.16</v>
      </c>
      <c r="N49" s="11">
        <v>1.25</v>
      </c>
      <c r="O49" s="11">
        <f t="shared" si="4"/>
        <v>1.2520325203252032</v>
      </c>
      <c r="P49" s="11">
        <v>1.25</v>
      </c>
      <c r="Q49" s="11">
        <f t="shared" si="2"/>
        <v>1.2520325203252032</v>
      </c>
    </row>
    <row r="50" spans="1:17" x14ac:dyDescent="0.25">
      <c r="A50" s="9">
        <v>43619</v>
      </c>
      <c r="B50" s="5">
        <v>488</v>
      </c>
      <c r="C50" s="12">
        <v>119.44</v>
      </c>
      <c r="D50" s="11">
        <v>24.48</v>
      </c>
      <c r="E50" s="11">
        <f t="shared" si="0"/>
        <v>24.475409836065573</v>
      </c>
      <c r="F50" s="11">
        <v>24.48</v>
      </c>
      <c r="G50" s="11">
        <f t="shared" si="3"/>
        <v>24.475409836065573</v>
      </c>
      <c r="K50" s="9">
        <v>43357</v>
      </c>
      <c r="L50" s="5">
        <v>1380</v>
      </c>
      <c r="M50" s="12">
        <v>16.21</v>
      </c>
      <c r="N50" s="11">
        <v>1.17</v>
      </c>
      <c r="O50" s="11">
        <f t="shared" si="4"/>
        <v>1.1746376811594204</v>
      </c>
      <c r="P50" s="11">
        <v>1.17</v>
      </c>
      <c r="Q50" s="11">
        <f t="shared" si="2"/>
        <v>1.1746376811594204</v>
      </c>
    </row>
    <row r="51" spans="1:17" x14ac:dyDescent="0.25">
      <c r="A51" s="9">
        <v>43614</v>
      </c>
      <c r="B51" s="5">
        <v>502</v>
      </c>
      <c r="C51" s="12">
        <v>142.93</v>
      </c>
      <c r="D51" s="11">
        <v>28.47</v>
      </c>
      <c r="E51" s="11">
        <f t="shared" si="0"/>
        <v>28.472111553784863</v>
      </c>
      <c r="F51" s="11">
        <v>28.47</v>
      </c>
      <c r="G51" s="11">
        <f t="shared" si="3"/>
        <v>28.472111553784863</v>
      </c>
      <c r="K51" s="9">
        <v>43349</v>
      </c>
      <c r="L51" s="5">
        <v>1159</v>
      </c>
      <c r="M51" s="12">
        <v>12.84</v>
      </c>
      <c r="N51" s="11">
        <v>1.1100000000000001</v>
      </c>
      <c r="O51" s="11">
        <f t="shared" si="4"/>
        <v>1.1078515962036237</v>
      </c>
      <c r="P51" s="11">
        <v>1.1100000000000001</v>
      </c>
      <c r="Q51" s="11">
        <f t="shared" si="2"/>
        <v>1.1078515962036237</v>
      </c>
    </row>
    <row r="52" spans="1:17" x14ac:dyDescent="0.25">
      <c r="A52" s="9">
        <v>43612</v>
      </c>
      <c r="B52" s="5">
        <v>486</v>
      </c>
      <c r="C52" s="12">
        <v>120.94</v>
      </c>
      <c r="D52" s="11">
        <v>24.88</v>
      </c>
      <c r="E52" s="11">
        <f t="shared" si="0"/>
        <v>24.884773662551439</v>
      </c>
      <c r="F52" s="11">
        <v>24.88</v>
      </c>
      <c r="G52" s="11">
        <f t="shared" si="3"/>
        <v>24.884773662551439</v>
      </c>
      <c r="K52" s="9">
        <v>43342</v>
      </c>
      <c r="L52" s="5">
        <v>3203</v>
      </c>
      <c r="M52" s="12">
        <v>34.450000000000003</v>
      </c>
      <c r="N52" s="11">
        <v>1.08</v>
      </c>
      <c r="O52" s="11">
        <f t="shared" si="4"/>
        <v>1.0755541679675307</v>
      </c>
      <c r="P52" s="11">
        <v>1.08</v>
      </c>
      <c r="Q52" s="11">
        <f t="shared" si="2"/>
        <v>1.0755541679675307</v>
      </c>
    </row>
    <row r="53" spans="1:17" x14ac:dyDescent="0.25">
      <c r="A53" s="9">
        <v>43608</v>
      </c>
      <c r="B53" s="5">
        <v>495</v>
      </c>
      <c r="C53" s="12">
        <v>136.32</v>
      </c>
      <c r="D53" s="11">
        <v>27.54</v>
      </c>
      <c r="E53" s="11">
        <f t="shared" si="0"/>
        <v>27.539393939393936</v>
      </c>
      <c r="F53" s="11">
        <v>27.54</v>
      </c>
      <c r="G53" s="11">
        <f t="shared" si="3"/>
        <v>27.539393939393936</v>
      </c>
      <c r="K53" s="9">
        <v>43321</v>
      </c>
      <c r="L53" s="5">
        <v>2278</v>
      </c>
      <c r="M53" s="12">
        <v>28.65</v>
      </c>
      <c r="N53" s="11">
        <v>1.26</v>
      </c>
      <c r="O53" s="11">
        <f t="shared" si="4"/>
        <v>1.2576821773485514</v>
      </c>
      <c r="P53" s="11">
        <v>1.26</v>
      </c>
      <c r="Q53" s="11">
        <f t="shared" si="2"/>
        <v>1.2576821773485514</v>
      </c>
    </row>
    <row r="54" spans="1:17" x14ac:dyDescent="0.25">
      <c r="A54" s="9">
        <v>43606</v>
      </c>
      <c r="B54" s="5">
        <v>706</v>
      </c>
      <c r="C54" s="12">
        <v>181.73</v>
      </c>
      <c r="D54" s="11">
        <v>25.74</v>
      </c>
      <c r="E54" s="11">
        <f t="shared" si="0"/>
        <v>25.740793201133144</v>
      </c>
      <c r="F54" s="11">
        <v>25.74</v>
      </c>
      <c r="G54" s="11">
        <f t="shared" si="3"/>
        <v>25.740793201133144</v>
      </c>
      <c r="K54" s="9">
        <v>43307</v>
      </c>
      <c r="L54" s="5">
        <v>2339</v>
      </c>
      <c r="M54" s="12">
        <v>30</v>
      </c>
      <c r="N54" s="11">
        <v>1.28</v>
      </c>
      <c r="O54" s="11">
        <f t="shared" si="4"/>
        <v>1.2825994014536126</v>
      </c>
      <c r="P54" s="11">
        <v>1.28</v>
      </c>
      <c r="Q54" s="11">
        <f t="shared" si="2"/>
        <v>1.2825994014536126</v>
      </c>
    </row>
    <row r="55" spans="1:17" x14ac:dyDescent="0.25">
      <c r="A55" s="9">
        <v>43601</v>
      </c>
      <c r="B55" s="5">
        <v>577</v>
      </c>
      <c r="C55" s="12">
        <v>161.97</v>
      </c>
      <c r="D55" s="11">
        <v>28.07</v>
      </c>
      <c r="E55" s="11">
        <f t="shared" si="0"/>
        <v>28.071057192374347</v>
      </c>
      <c r="F55" s="11">
        <v>28.07</v>
      </c>
      <c r="G55" s="11">
        <f t="shared" si="3"/>
        <v>28.071057192374347</v>
      </c>
      <c r="K55" s="9">
        <v>43293</v>
      </c>
      <c r="L55" s="5">
        <v>1195</v>
      </c>
      <c r="M55" s="12">
        <v>14.65</v>
      </c>
      <c r="N55" s="11">
        <v>1.23</v>
      </c>
      <c r="O55" s="11">
        <f t="shared" si="4"/>
        <v>1.2259414225941423</v>
      </c>
      <c r="P55" s="11">
        <v>1.23</v>
      </c>
      <c r="Q55" s="11">
        <f t="shared" si="2"/>
        <v>1.2259414225941423</v>
      </c>
    </row>
    <row r="56" spans="1:17" x14ac:dyDescent="0.25">
      <c r="A56" s="9">
        <v>43598</v>
      </c>
      <c r="B56" s="5">
        <v>644</v>
      </c>
      <c r="C56" s="12">
        <v>162.74</v>
      </c>
      <c r="D56" s="11">
        <v>25.27</v>
      </c>
      <c r="E56" s="11">
        <f t="shared" si="0"/>
        <v>25.270186335403729</v>
      </c>
      <c r="F56" s="11">
        <v>25.27</v>
      </c>
      <c r="G56" s="11">
        <f t="shared" si="3"/>
        <v>25.270186335403729</v>
      </c>
      <c r="K56" s="9">
        <v>43286</v>
      </c>
      <c r="L56" s="5">
        <v>1206</v>
      </c>
      <c r="M56" s="12">
        <v>14.98</v>
      </c>
      <c r="N56" s="11">
        <v>1.24</v>
      </c>
      <c r="O56" s="11">
        <f t="shared" si="4"/>
        <v>1.24212271973466</v>
      </c>
      <c r="P56" s="11">
        <v>1.24</v>
      </c>
      <c r="Q56" s="11">
        <f t="shared" si="2"/>
        <v>1.24212271973466</v>
      </c>
    </row>
    <row r="57" spans="1:17" x14ac:dyDescent="0.25">
      <c r="A57" s="9">
        <v>43594</v>
      </c>
      <c r="B57" s="5">
        <v>722</v>
      </c>
      <c r="C57" s="12">
        <v>179.06</v>
      </c>
      <c r="D57" s="11">
        <v>24.8</v>
      </c>
      <c r="E57" s="11">
        <f t="shared" si="0"/>
        <v>24.800554016620499</v>
      </c>
      <c r="F57" s="11">
        <v>24.8</v>
      </c>
      <c r="G57" s="11">
        <f t="shared" si="3"/>
        <v>24.800554016620499</v>
      </c>
      <c r="K57" s="9">
        <v>43279</v>
      </c>
      <c r="L57" s="5">
        <v>757</v>
      </c>
      <c r="M57" s="12">
        <v>9.3800000000000008</v>
      </c>
      <c r="N57" s="11">
        <v>1.24</v>
      </c>
      <c r="O57" s="11">
        <f t="shared" si="4"/>
        <v>1.239101717305152</v>
      </c>
      <c r="P57" s="11">
        <v>1.24</v>
      </c>
      <c r="Q57" s="11">
        <f t="shared" si="2"/>
        <v>1.239101717305152</v>
      </c>
    </row>
    <row r="58" spans="1:17" x14ac:dyDescent="0.25">
      <c r="A58" s="9">
        <v>43591</v>
      </c>
      <c r="B58" s="5">
        <v>373</v>
      </c>
      <c r="C58" s="12">
        <v>107.61</v>
      </c>
      <c r="D58" s="11">
        <v>28.85</v>
      </c>
      <c r="E58" s="11">
        <f t="shared" si="0"/>
        <v>28.849865951742625</v>
      </c>
      <c r="F58" s="11">
        <v>28.85</v>
      </c>
      <c r="G58" s="11">
        <f t="shared" si="3"/>
        <v>28.849865951742625</v>
      </c>
      <c r="K58" s="9">
        <v>43272</v>
      </c>
      <c r="L58" s="5">
        <v>2400</v>
      </c>
      <c r="M58" s="12">
        <v>29.81</v>
      </c>
      <c r="N58" s="11">
        <v>1.24</v>
      </c>
      <c r="O58" s="11">
        <f t="shared" si="4"/>
        <v>1.2420833333333332</v>
      </c>
      <c r="P58" s="11">
        <v>1.24</v>
      </c>
      <c r="Q58" s="11">
        <f t="shared" si="2"/>
        <v>1.2420833333333332</v>
      </c>
    </row>
    <row r="59" spans="1:17" x14ac:dyDescent="0.25">
      <c r="A59" s="9">
        <v>43587</v>
      </c>
      <c r="B59" s="5">
        <v>487</v>
      </c>
      <c r="C59" s="12">
        <v>148.68</v>
      </c>
      <c r="D59" s="11">
        <v>30.53</v>
      </c>
      <c r="E59" s="11">
        <f t="shared" si="0"/>
        <v>30.529774127310063</v>
      </c>
      <c r="F59" s="11">
        <v>30.53</v>
      </c>
      <c r="G59" s="11">
        <f t="shared" si="3"/>
        <v>30.529774127310063</v>
      </c>
      <c r="K59" s="9">
        <v>43258</v>
      </c>
      <c r="L59" s="5">
        <v>1215</v>
      </c>
      <c r="M59" s="12">
        <v>17.27</v>
      </c>
      <c r="N59" s="11">
        <v>1.42</v>
      </c>
      <c r="O59" s="11">
        <f t="shared" si="4"/>
        <v>1.4213991769547323</v>
      </c>
      <c r="P59" s="11">
        <v>1.42</v>
      </c>
      <c r="Q59" s="11">
        <f t="shared" si="2"/>
        <v>1.4213991769547323</v>
      </c>
    </row>
    <row r="60" spans="1:17" x14ac:dyDescent="0.25">
      <c r="A60" s="9">
        <v>43584</v>
      </c>
      <c r="B60" s="5">
        <v>645</v>
      </c>
      <c r="C60" s="12">
        <v>160.03</v>
      </c>
      <c r="D60" s="11">
        <v>24.81</v>
      </c>
      <c r="E60" s="11">
        <f t="shared" si="0"/>
        <v>24.810852713178296</v>
      </c>
      <c r="F60" s="11">
        <v>24.81</v>
      </c>
      <c r="G60" s="11">
        <f t="shared" si="3"/>
        <v>24.810852713178296</v>
      </c>
      <c r="K60" s="9">
        <v>43250</v>
      </c>
      <c r="L60" s="5">
        <v>1014</v>
      </c>
      <c r="M60" s="12">
        <v>12.02</v>
      </c>
      <c r="N60" s="11">
        <v>1.19</v>
      </c>
      <c r="O60" s="11">
        <f t="shared" si="4"/>
        <v>1.1854043392504932</v>
      </c>
      <c r="P60" s="11">
        <v>1.19</v>
      </c>
      <c r="Q60" s="11">
        <f t="shared" si="2"/>
        <v>1.1854043392504932</v>
      </c>
    </row>
    <row r="61" spans="1:17" x14ac:dyDescent="0.25">
      <c r="A61" s="9">
        <v>43580</v>
      </c>
      <c r="B61" s="5">
        <v>779</v>
      </c>
      <c r="C61" s="12">
        <v>192.13</v>
      </c>
      <c r="D61" s="11">
        <v>24.66</v>
      </c>
      <c r="E61" s="11">
        <f t="shared" si="0"/>
        <v>24.663671373555839</v>
      </c>
      <c r="F61" s="11">
        <v>24.66</v>
      </c>
      <c r="G61" s="11">
        <f t="shared" si="3"/>
        <v>24.663671373555839</v>
      </c>
      <c r="K61" s="9">
        <v>43244</v>
      </c>
      <c r="L61" s="5">
        <v>1005</v>
      </c>
      <c r="M61" s="12">
        <v>12.46</v>
      </c>
      <c r="N61" s="11">
        <v>1.24</v>
      </c>
      <c r="O61" s="11">
        <f t="shared" si="4"/>
        <v>1.2398009950248758</v>
      </c>
      <c r="P61" s="11">
        <v>1.24</v>
      </c>
      <c r="Q61" s="11">
        <f t="shared" si="2"/>
        <v>1.2398009950248758</v>
      </c>
    </row>
    <row r="62" spans="1:17" x14ac:dyDescent="0.25">
      <c r="A62" s="9">
        <v>43573</v>
      </c>
      <c r="B62" s="5">
        <v>795</v>
      </c>
      <c r="C62" s="12">
        <v>193.28</v>
      </c>
      <c r="D62" s="11">
        <v>24.31</v>
      </c>
      <c r="E62" s="11">
        <f t="shared" si="0"/>
        <v>24.311949685534593</v>
      </c>
      <c r="F62" s="11">
        <v>24.31</v>
      </c>
      <c r="G62" s="11">
        <f t="shared" si="3"/>
        <v>24.311949685534593</v>
      </c>
      <c r="K62" s="9">
        <v>43237</v>
      </c>
      <c r="L62" s="5">
        <v>2155</v>
      </c>
      <c r="M62" s="12">
        <v>27.87</v>
      </c>
      <c r="N62" s="11">
        <v>1.29</v>
      </c>
      <c r="O62" s="11">
        <f t="shared" si="4"/>
        <v>1.2932714617169374</v>
      </c>
      <c r="P62" s="11">
        <v>1.29</v>
      </c>
      <c r="Q62" s="11">
        <f t="shared" si="2"/>
        <v>1.2932714617169374</v>
      </c>
    </row>
    <row r="63" spans="1:17" x14ac:dyDescent="0.25">
      <c r="A63" s="9">
        <v>43570</v>
      </c>
      <c r="B63" s="5">
        <v>528</v>
      </c>
      <c r="C63" s="12">
        <v>140.91999999999999</v>
      </c>
      <c r="D63" s="11">
        <v>26.69</v>
      </c>
      <c r="E63" s="11">
        <f t="shared" si="0"/>
        <v>26.689393939393934</v>
      </c>
      <c r="F63" s="11">
        <v>26.69</v>
      </c>
      <c r="G63" s="11">
        <f t="shared" si="3"/>
        <v>26.689393939393934</v>
      </c>
      <c r="K63" s="9">
        <v>43223</v>
      </c>
      <c r="L63" s="5">
        <v>1923</v>
      </c>
      <c r="M63" s="12">
        <v>24.68</v>
      </c>
      <c r="N63" s="11">
        <v>1.28</v>
      </c>
      <c r="O63" s="11">
        <f t="shared" si="4"/>
        <v>1.2834113364534581</v>
      </c>
      <c r="P63" s="11">
        <v>1.28</v>
      </c>
      <c r="Q63" s="11">
        <f t="shared" si="2"/>
        <v>1.2834113364534581</v>
      </c>
    </row>
    <row r="64" spans="1:17" x14ac:dyDescent="0.25">
      <c r="A64" s="9">
        <v>43566</v>
      </c>
      <c r="B64" s="5">
        <v>495</v>
      </c>
      <c r="C64" s="12">
        <v>130.66</v>
      </c>
      <c r="D64" s="11">
        <v>26.4</v>
      </c>
      <c r="E64" s="11">
        <f t="shared" si="0"/>
        <v>26.395959595959596</v>
      </c>
      <c r="F64" s="11">
        <v>26.4</v>
      </c>
      <c r="G64" s="11">
        <f t="shared" si="3"/>
        <v>26.395959595959596</v>
      </c>
      <c r="K64" s="9">
        <v>43209</v>
      </c>
      <c r="L64" s="5">
        <v>2328</v>
      </c>
      <c r="M64" s="12">
        <v>30.38</v>
      </c>
      <c r="N64" s="11">
        <v>1.3</v>
      </c>
      <c r="O64" s="11">
        <f t="shared" si="4"/>
        <v>1.3049828178694158</v>
      </c>
      <c r="P64" s="11">
        <v>1.3</v>
      </c>
      <c r="Q64" s="11">
        <f t="shared" si="2"/>
        <v>1.3049828178694158</v>
      </c>
    </row>
    <row r="65" spans="1:17" x14ac:dyDescent="0.25">
      <c r="A65" s="9">
        <v>43564</v>
      </c>
      <c r="B65" s="5">
        <v>727</v>
      </c>
      <c r="C65" s="12">
        <v>179.24</v>
      </c>
      <c r="D65" s="11">
        <v>24.65</v>
      </c>
      <c r="E65" s="11">
        <f t="shared" si="0"/>
        <v>24.654745529573592</v>
      </c>
      <c r="F65" s="11">
        <v>24.65</v>
      </c>
      <c r="G65" s="11">
        <f t="shared" si="3"/>
        <v>24.654745529573592</v>
      </c>
      <c r="K65" s="9">
        <v>43195</v>
      </c>
      <c r="L65" s="5">
        <v>334</v>
      </c>
      <c r="M65" s="12">
        <v>7.11</v>
      </c>
      <c r="N65" s="11">
        <v>2.13</v>
      </c>
      <c r="O65" s="11">
        <f t="shared" si="4"/>
        <v>2.1287425149700603</v>
      </c>
      <c r="P65" s="11">
        <v>2.13</v>
      </c>
      <c r="Q65" s="11">
        <f t="shared" si="2"/>
        <v>2.1287425149700603</v>
      </c>
    </row>
    <row r="66" spans="1:17" x14ac:dyDescent="0.25">
      <c r="A66" s="9">
        <v>43559</v>
      </c>
      <c r="B66" s="5">
        <v>494</v>
      </c>
      <c r="C66" s="12">
        <v>134.49</v>
      </c>
      <c r="D66" s="11">
        <v>27.22</v>
      </c>
      <c r="E66" s="11">
        <f t="shared" ref="E66:E129" si="5">C66/B66*100</f>
        <v>27.224696356275306</v>
      </c>
      <c r="F66" s="11">
        <v>27.22</v>
      </c>
      <c r="G66" s="11">
        <f t="shared" si="3"/>
        <v>27.224696356275306</v>
      </c>
      <c r="K66" s="9">
        <v>43192</v>
      </c>
      <c r="L66" s="5">
        <v>1262</v>
      </c>
      <c r="M66" s="12">
        <v>12.18</v>
      </c>
      <c r="N66" s="11">
        <v>0.97</v>
      </c>
      <c r="O66" s="11">
        <f t="shared" ref="O66:O97" si="6">M66/L66*100</f>
        <v>0.96513470681458013</v>
      </c>
      <c r="P66" s="11">
        <v>0.97</v>
      </c>
      <c r="Q66" s="11">
        <f t="shared" ref="Q66:Q129" si="7">M66/L66*100</f>
        <v>0.96513470681458013</v>
      </c>
    </row>
    <row r="67" spans="1:17" x14ac:dyDescent="0.25">
      <c r="A67" s="9">
        <v>43557</v>
      </c>
      <c r="B67" s="5">
        <v>743</v>
      </c>
      <c r="C67" s="12">
        <v>188.49</v>
      </c>
      <c r="D67" s="11">
        <v>25.37</v>
      </c>
      <c r="E67" s="11">
        <f t="shared" si="5"/>
        <v>25.368775235531633</v>
      </c>
      <c r="F67" s="11">
        <v>25.37</v>
      </c>
      <c r="G67" s="11">
        <f t="shared" ref="G67:G130" si="8">C67/B67*100</f>
        <v>25.368775235531633</v>
      </c>
      <c r="K67" s="9">
        <v>43188</v>
      </c>
      <c r="L67" s="5">
        <v>211</v>
      </c>
      <c r="M67" s="12">
        <v>3.37</v>
      </c>
      <c r="N67" s="11">
        <v>1.6</v>
      </c>
      <c r="O67" s="11">
        <f t="shared" si="6"/>
        <v>1.5971563981042654</v>
      </c>
      <c r="P67" s="11">
        <v>1.6</v>
      </c>
      <c r="Q67" s="11">
        <f t="shared" si="7"/>
        <v>1.5971563981042654</v>
      </c>
    </row>
    <row r="68" spans="1:17" x14ac:dyDescent="0.25">
      <c r="A68" s="9">
        <v>43552</v>
      </c>
      <c r="B68" s="5">
        <v>594</v>
      </c>
      <c r="C68" s="12">
        <v>173.16</v>
      </c>
      <c r="D68" s="11">
        <v>29.15</v>
      </c>
      <c r="E68" s="11">
        <f t="shared" si="5"/>
        <v>29.151515151515149</v>
      </c>
      <c r="F68" s="11">
        <v>29.15</v>
      </c>
      <c r="G68" s="11">
        <f t="shared" si="8"/>
        <v>29.151515151515149</v>
      </c>
      <c r="K68" s="9">
        <v>43188</v>
      </c>
      <c r="L68" s="5">
        <v>1149</v>
      </c>
      <c r="M68" s="12">
        <v>15.17</v>
      </c>
      <c r="N68" s="11">
        <v>1.32</v>
      </c>
      <c r="O68" s="11">
        <f t="shared" si="6"/>
        <v>1.320278503046127</v>
      </c>
      <c r="P68" s="11">
        <v>1.32</v>
      </c>
      <c r="Q68" s="11">
        <f t="shared" si="7"/>
        <v>1.320278503046127</v>
      </c>
    </row>
    <row r="69" spans="1:17" x14ac:dyDescent="0.25">
      <c r="A69" s="9">
        <v>43549</v>
      </c>
      <c r="B69" s="5">
        <v>662</v>
      </c>
      <c r="C69" s="12">
        <v>169.01</v>
      </c>
      <c r="D69" s="11">
        <v>25.53</v>
      </c>
      <c r="E69" s="11">
        <f t="shared" si="5"/>
        <v>25.530211480362535</v>
      </c>
      <c r="F69" s="11">
        <v>25.53</v>
      </c>
      <c r="G69" s="11">
        <f t="shared" si="8"/>
        <v>25.530211480362535</v>
      </c>
      <c r="K69" s="9">
        <v>43181</v>
      </c>
      <c r="L69" s="5">
        <v>1256</v>
      </c>
      <c r="M69" s="12">
        <v>18.170000000000002</v>
      </c>
      <c r="N69" s="11">
        <v>1.45</v>
      </c>
      <c r="O69" s="11">
        <f t="shared" si="6"/>
        <v>1.4466560509554143</v>
      </c>
      <c r="P69" s="11">
        <v>1.45</v>
      </c>
      <c r="Q69" s="11">
        <f t="shared" si="7"/>
        <v>1.4466560509554143</v>
      </c>
    </row>
    <row r="70" spans="1:17" x14ac:dyDescent="0.25">
      <c r="A70" s="9">
        <v>43545</v>
      </c>
      <c r="B70" s="5">
        <v>560</v>
      </c>
      <c r="C70" s="12">
        <v>170.59</v>
      </c>
      <c r="D70" s="11">
        <v>30.46</v>
      </c>
      <c r="E70" s="11">
        <f t="shared" si="5"/>
        <v>30.462499999999999</v>
      </c>
      <c r="F70" s="11">
        <v>30.46</v>
      </c>
      <c r="G70" s="11">
        <f t="shared" si="8"/>
        <v>30.462499999999999</v>
      </c>
      <c r="K70" s="9">
        <v>43174</v>
      </c>
      <c r="L70" s="5">
        <v>1174</v>
      </c>
      <c r="M70" s="12">
        <v>15.21</v>
      </c>
      <c r="N70" s="11">
        <v>1.3</v>
      </c>
      <c r="O70" s="11">
        <f t="shared" si="6"/>
        <v>1.2955706984667803</v>
      </c>
      <c r="P70" s="11">
        <v>1.3</v>
      </c>
      <c r="Q70" s="11">
        <f t="shared" si="7"/>
        <v>1.2955706984667803</v>
      </c>
    </row>
    <row r="71" spans="1:17" x14ac:dyDescent="0.25">
      <c r="A71" s="9">
        <v>43542</v>
      </c>
      <c r="B71" s="5">
        <v>653</v>
      </c>
      <c r="C71" s="12">
        <v>174.74</v>
      </c>
      <c r="D71" s="11">
        <v>26.76</v>
      </c>
      <c r="E71" s="11">
        <f t="shared" si="5"/>
        <v>26.759571209800921</v>
      </c>
      <c r="F71" s="11">
        <v>26.76</v>
      </c>
      <c r="G71" s="11">
        <f t="shared" si="8"/>
        <v>26.759571209800921</v>
      </c>
      <c r="K71" s="9">
        <v>43167</v>
      </c>
      <c r="L71" s="5">
        <v>1182</v>
      </c>
      <c r="M71" s="12">
        <v>15.86</v>
      </c>
      <c r="N71" s="11">
        <v>1.34</v>
      </c>
      <c r="O71" s="11">
        <f t="shared" si="6"/>
        <v>1.3417935702199661</v>
      </c>
      <c r="P71" s="11">
        <v>1.34</v>
      </c>
      <c r="Q71" s="11">
        <f t="shared" si="7"/>
        <v>1.3417935702199661</v>
      </c>
    </row>
    <row r="72" spans="1:17" x14ac:dyDescent="0.25">
      <c r="A72" s="9">
        <v>43538</v>
      </c>
      <c r="B72" s="5">
        <v>531</v>
      </c>
      <c r="C72" s="12">
        <v>163.72999999999999</v>
      </c>
      <c r="D72" s="11">
        <v>30.83</v>
      </c>
      <c r="E72" s="11">
        <f t="shared" si="5"/>
        <v>30.834274952919017</v>
      </c>
      <c r="F72" s="11">
        <v>30.83</v>
      </c>
      <c r="G72" s="11">
        <f t="shared" si="8"/>
        <v>30.834274952919017</v>
      </c>
      <c r="K72" s="9">
        <v>43160</v>
      </c>
      <c r="L72" s="5">
        <v>1214</v>
      </c>
      <c r="M72" s="12">
        <v>15.69</v>
      </c>
      <c r="N72" s="11">
        <v>1.29</v>
      </c>
      <c r="O72" s="11">
        <f t="shared" si="6"/>
        <v>1.2924217462932455</v>
      </c>
      <c r="P72" s="11">
        <v>1.29</v>
      </c>
      <c r="Q72" s="11">
        <f t="shared" si="7"/>
        <v>1.2924217462932455</v>
      </c>
    </row>
    <row r="73" spans="1:17" x14ac:dyDescent="0.25">
      <c r="A73" s="9">
        <v>43535</v>
      </c>
      <c r="B73" s="5">
        <v>623</v>
      </c>
      <c r="C73" s="12">
        <v>168.94</v>
      </c>
      <c r="D73" s="11">
        <v>27.12</v>
      </c>
      <c r="E73" s="11">
        <f t="shared" si="5"/>
        <v>27.117174959871587</v>
      </c>
      <c r="F73" s="11">
        <v>27.12</v>
      </c>
      <c r="G73" s="11">
        <f t="shared" si="8"/>
        <v>27.117174959871587</v>
      </c>
      <c r="K73" s="9">
        <v>43153</v>
      </c>
      <c r="L73" s="5">
        <v>1202</v>
      </c>
      <c r="M73" s="12">
        <v>10.63</v>
      </c>
      <c r="N73" s="11">
        <v>0.88</v>
      </c>
      <c r="O73" s="11">
        <f t="shared" si="6"/>
        <v>0.8843594009983361</v>
      </c>
      <c r="P73" s="11">
        <v>0.88</v>
      </c>
      <c r="Q73" s="11">
        <f t="shared" si="7"/>
        <v>0.8843594009983361</v>
      </c>
    </row>
    <row r="74" spans="1:17" x14ac:dyDescent="0.25">
      <c r="A74" s="9">
        <v>43531</v>
      </c>
      <c r="B74" s="5">
        <v>503</v>
      </c>
      <c r="C74" s="12">
        <v>141</v>
      </c>
      <c r="D74" s="11">
        <v>28.03</v>
      </c>
      <c r="E74" s="11">
        <f t="shared" si="5"/>
        <v>28.031809145129227</v>
      </c>
      <c r="F74" s="11">
        <v>28.03</v>
      </c>
      <c r="G74" s="11">
        <f t="shared" si="8"/>
        <v>28.031809145129227</v>
      </c>
      <c r="K74" s="9">
        <v>43146</v>
      </c>
      <c r="L74" s="5">
        <v>1209</v>
      </c>
      <c r="M74" s="12">
        <v>14.01</v>
      </c>
      <c r="N74" s="11">
        <v>1.1599999999999999</v>
      </c>
      <c r="O74" s="11">
        <f t="shared" si="6"/>
        <v>1.1588089330024813</v>
      </c>
      <c r="P74" s="11">
        <v>1.1599999999999999</v>
      </c>
      <c r="Q74" s="11">
        <f t="shared" si="7"/>
        <v>1.1588089330024813</v>
      </c>
    </row>
    <row r="75" spans="1:17" x14ac:dyDescent="0.25">
      <c r="A75" s="9">
        <v>43528</v>
      </c>
      <c r="B75" s="5">
        <v>627</v>
      </c>
      <c r="C75" s="12">
        <v>162.24</v>
      </c>
      <c r="D75" s="11">
        <v>25.88</v>
      </c>
      <c r="E75" s="11">
        <f t="shared" si="5"/>
        <v>25.875598086124402</v>
      </c>
      <c r="F75" s="11">
        <v>25.88</v>
      </c>
      <c r="G75" s="11">
        <f t="shared" si="8"/>
        <v>25.875598086124402</v>
      </c>
      <c r="K75" s="9">
        <v>43139</v>
      </c>
      <c r="L75" s="5">
        <v>1183</v>
      </c>
      <c r="M75" s="12">
        <v>13.89</v>
      </c>
      <c r="N75" s="11">
        <v>1.17</v>
      </c>
      <c r="O75" s="11">
        <f t="shared" si="6"/>
        <v>1.1741335587489434</v>
      </c>
      <c r="P75" s="11">
        <v>1.17</v>
      </c>
      <c r="Q75" s="11">
        <f t="shared" si="7"/>
        <v>1.1741335587489434</v>
      </c>
    </row>
    <row r="76" spans="1:17" x14ac:dyDescent="0.25">
      <c r="A76" s="9">
        <v>43524</v>
      </c>
      <c r="B76" s="5">
        <v>553</v>
      </c>
      <c r="C76" s="12">
        <v>146.52000000000001</v>
      </c>
      <c r="D76" s="11">
        <v>26.5</v>
      </c>
      <c r="E76" s="11">
        <f t="shared" si="5"/>
        <v>26.495479204339965</v>
      </c>
      <c r="F76" s="11">
        <v>26.5</v>
      </c>
      <c r="G76" s="11">
        <f t="shared" si="8"/>
        <v>26.495479204339965</v>
      </c>
      <c r="K76" s="9">
        <v>43132</v>
      </c>
      <c r="L76" s="5">
        <v>1189</v>
      </c>
      <c r="M76" s="12">
        <v>14.99</v>
      </c>
      <c r="N76" s="11">
        <v>1.26</v>
      </c>
      <c r="O76" s="11">
        <f t="shared" si="6"/>
        <v>1.2607232968881414</v>
      </c>
      <c r="P76" s="11">
        <v>1.26</v>
      </c>
      <c r="Q76" s="11">
        <f t="shared" si="7"/>
        <v>1.2607232968881414</v>
      </c>
    </row>
    <row r="77" spans="1:17" x14ac:dyDescent="0.25">
      <c r="A77" s="9">
        <v>43521</v>
      </c>
      <c r="B77" s="5">
        <v>614</v>
      </c>
      <c r="C77" s="12">
        <v>163.01</v>
      </c>
      <c r="D77" s="11">
        <v>26.55</v>
      </c>
      <c r="E77" s="11">
        <f t="shared" si="5"/>
        <v>26.548859934853418</v>
      </c>
      <c r="F77" s="11">
        <v>26.55</v>
      </c>
      <c r="G77" s="11">
        <f t="shared" si="8"/>
        <v>26.548859934853418</v>
      </c>
      <c r="K77" s="9">
        <v>43125</v>
      </c>
      <c r="L77" s="5">
        <v>1186</v>
      </c>
      <c r="M77" s="12">
        <v>15.04</v>
      </c>
      <c r="N77" s="11">
        <v>1.27</v>
      </c>
      <c r="O77" s="11">
        <f t="shared" si="6"/>
        <v>1.2681281618887015</v>
      </c>
      <c r="P77" s="11">
        <v>1.27</v>
      </c>
      <c r="Q77" s="11">
        <f t="shared" si="7"/>
        <v>1.2681281618887015</v>
      </c>
    </row>
    <row r="78" spans="1:17" x14ac:dyDescent="0.25">
      <c r="A78" s="9">
        <v>43517</v>
      </c>
      <c r="B78" s="5">
        <v>541</v>
      </c>
      <c r="C78" s="12">
        <v>158.13</v>
      </c>
      <c r="D78" s="11">
        <v>29.23</v>
      </c>
      <c r="E78" s="11">
        <f t="shared" si="5"/>
        <v>29.229205175600736</v>
      </c>
      <c r="F78" s="11">
        <v>29.23</v>
      </c>
      <c r="G78" s="11">
        <f t="shared" si="8"/>
        <v>29.229205175600736</v>
      </c>
      <c r="K78" s="9">
        <v>43118</v>
      </c>
      <c r="L78" s="5">
        <v>2341</v>
      </c>
      <c r="M78" s="12">
        <v>28.31</v>
      </c>
      <c r="N78" s="11">
        <v>1.21</v>
      </c>
      <c r="O78" s="11">
        <f t="shared" si="6"/>
        <v>1.2093122597180692</v>
      </c>
      <c r="P78" s="11">
        <v>1.21</v>
      </c>
      <c r="Q78" s="11">
        <f t="shared" si="7"/>
        <v>1.2093122597180692</v>
      </c>
    </row>
    <row r="79" spans="1:17" x14ac:dyDescent="0.25">
      <c r="A79" s="9">
        <v>43514</v>
      </c>
      <c r="B79" s="5">
        <v>613</v>
      </c>
      <c r="C79" s="12">
        <v>169.04</v>
      </c>
      <c r="D79" s="11">
        <v>27.58</v>
      </c>
      <c r="E79" s="11">
        <f t="shared" si="5"/>
        <v>27.57585644371941</v>
      </c>
      <c r="F79" s="11">
        <v>27.58</v>
      </c>
      <c r="G79" s="11">
        <f t="shared" si="8"/>
        <v>27.57585644371941</v>
      </c>
      <c r="K79" s="9">
        <v>43104</v>
      </c>
      <c r="L79" s="5">
        <v>921</v>
      </c>
      <c r="M79" s="12">
        <v>10.52</v>
      </c>
      <c r="N79" s="11">
        <v>1.1399999999999999</v>
      </c>
      <c r="O79" s="11">
        <f t="shared" si="6"/>
        <v>1.1422366992399564</v>
      </c>
      <c r="P79" s="11">
        <v>1.1399999999999999</v>
      </c>
      <c r="Q79" s="11">
        <f t="shared" si="7"/>
        <v>1.1422366992399564</v>
      </c>
    </row>
    <row r="80" spans="1:17" x14ac:dyDescent="0.25">
      <c r="A80" s="9">
        <v>43510</v>
      </c>
      <c r="B80" s="5">
        <v>532</v>
      </c>
      <c r="C80" s="12">
        <v>165.5</v>
      </c>
      <c r="D80" s="11">
        <v>31.11</v>
      </c>
      <c r="E80" s="11">
        <f t="shared" si="5"/>
        <v>31.109022556390975</v>
      </c>
      <c r="F80" s="11">
        <v>31.11</v>
      </c>
      <c r="G80" s="11">
        <f t="shared" si="8"/>
        <v>31.109022556390975</v>
      </c>
      <c r="K80" s="9">
        <v>43097</v>
      </c>
      <c r="L80" s="5">
        <v>719</v>
      </c>
      <c r="M80" s="12">
        <v>8.99</v>
      </c>
      <c r="N80" s="11">
        <v>1.25</v>
      </c>
      <c r="O80" s="11">
        <f t="shared" si="6"/>
        <v>1.2503477051460363</v>
      </c>
      <c r="P80" s="11">
        <v>1.25</v>
      </c>
      <c r="Q80" s="11">
        <f t="shared" si="7"/>
        <v>1.2503477051460363</v>
      </c>
    </row>
    <row r="81" spans="1:19" x14ac:dyDescent="0.25">
      <c r="A81" s="9">
        <v>43507</v>
      </c>
      <c r="B81" s="5">
        <v>605</v>
      </c>
      <c r="C81" s="12">
        <v>173.03</v>
      </c>
      <c r="D81" s="11">
        <v>28.6</v>
      </c>
      <c r="E81" s="11">
        <f t="shared" si="5"/>
        <v>28.599999999999998</v>
      </c>
      <c r="F81" s="11">
        <v>28.6</v>
      </c>
      <c r="G81" s="11">
        <f t="shared" si="8"/>
        <v>28.599999999999998</v>
      </c>
      <c r="K81" s="9">
        <v>43090</v>
      </c>
      <c r="L81" s="5">
        <v>2234</v>
      </c>
      <c r="M81" s="12">
        <v>28.88</v>
      </c>
      <c r="N81" s="11">
        <v>1.29</v>
      </c>
      <c r="O81" s="11">
        <f t="shared" si="6"/>
        <v>1.2927484333034915</v>
      </c>
      <c r="P81" s="11">
        <v>1.29</v>
      </c>
      <c r="Q81" s="11">
        <f t="shared" si="7"/>
        <v>1.2927484333034915</v>
      </c>
    </row>
    <row r="82" spans="1:19" x14ac:dyDescent="0.25">
      <c r="A82" s="9">
        <v>43503</v>
      </c>
      <c r="B82" s="5">
        <v>542</v>
      </c>
      <c r="C82" s="12">
        <v>179.54</v>
      </c>
      <c r="D82" s="11">
        <v>33.130000000000003</v>
      </c>
      <c r="E82" s="11">
        <f t="shared" si="5"/>
        <v>33.125461254612546</v>
      </c>
      <c r="F82" s="11">
        <v>33.130000000000003</v>
      </c>
      <c r="G82" s="11">
        <f t="shared" si="8"/>
        <v>33.125461254612546</v>
      </c>
      <c r="K82" s="9">
        <v>43077</v>
      </c>
      <c r="L82" s="5">
        <v>1232</v>
      </c>
      <c r="M82" s="12">
        <v>19.77</v>
      </c>
      <c r="N82" s="11">
        <v>1.6</v>
      </c>
      <c r="O82" s="11">
        <f t="shared" si="6"/>
        <v>1.6047077922077921</v>
      </c>
      <c r="P82" s="11">
        <v>1.6</v>
      </c>
      <c r="Q82" s="11">
        <f t="shared" si="7"/>
        <v>1.6047077922077921</v>
      </c>
    </row>
    <row r="83" spans="1:19" x14ac:dyDescent="0.25">
      <c r="A83" s="9">
        <v>43500</v>
      </c>
      <c r="B83" s="5">
        <v>606</v>
      </c>
      <c r="C83" s="12">
        <v>174.18</v>
      </c>
      <c r="D83" s="11">
        <v>28.74</v>
      </c>
      <c r="E83" s="11">
        <f t="shared" si="5"/>
        <v>28.742574257425744</v>
      </c>
      <c r="F83" s="11">
        <v>28.74</v>
      </c>
      <c r="G83" s="11">
        <f t="shared" si="8"/>
        <v>28.742574257425744</v>
      </c>
      <c r="K83" s="9">
        <v>43061</v>
      </c>
      <c r="L83" s="5">
        <v>1332</v>
      </c>
      <c r="M83" s="12">
        <v>19.329999999999998</v>
      </c>
      <c r="N83" s="11">
        <v>1.45</v>
      </c>
      <c r="O83" s="11">
        <f t="shared" si="6"/>
        <v>1.451201201201201</v>
      </c>
      <c r="P83" s="11">
        <v>1.45</v>
      </c>
      <c r="Q83" s="11">
        <f t="shared" si="7"/>
        <v>1.451201201201201</v>
      </c>
      <c r="R83" s="27">
        <v>43040</v>
      </c>
      <c r="S83" s="26">
        <f>AVERAGE(Q83:Q85)</f>
        <v>1.3278353206914686</v>
      </c>
    </row>
    <row r="84" spans="1:19" x14ac:dyDescent="0.25">
      <c r="A84" s="9">
        <v>43496</v>
      </c>
      <c r="B84" s="5">
        <v>541</v>
      </c>
      <c r="C84" s="12">
        <v>175.54</v>
      </c>
      <c r="D84" s="11">
        <v>32.450000000000003</v>
      </c>
      <c r="E84" s="11">
        <f t="shared" si="5"/>
        <v>32.447319778188536</v>
      </c>
      <c r="F84" s="11">
        <v>32.450000000000003</v>
      </c>
      <c r="G84" s="11">
        <f t="shared" si="8"/>
        <v>32.447319778188536</v>
      </c>
      <c r="K84" s="9">
        <v>43056</v>
      </c>
      <c r="L84" s="5">
        <v>1922</v>
      </c>
      <c r="M84" s="12">
        <v>23</v>
      </c>
      <c r="N84" s="11">
        <v>1.2</v>
      </c>
      <c r="O84" s="11">
        <f t="shared" si="6"/>
        <v>1.1966701352757543</v>
      </c>
      <c r="P84" s="11">
        <v>1.2</v>
      </c>
      <c r="Q84" s="11">
        <f t="shared" si="7"/>
        <v>1.1966701352757543</v>
      </c>
      <c r="R84" s="25"/>
      <c r="S84" s="26"/>
    </row>
    <row r="85" spans="1:19" x14ac:dyDescent="0.25">
      <c r="A85" s="9">
        <v>43493</v>
      </c>
      <c r="B85" s="5">
        <v>614</v>
      </c>
      <c r="C85" s="12">
        <v>179.65</v>
      </c>
      <c r="D85" s="11">
        <v>29.26</v>
      </c>
      <c r="E85" s="11">
        <f t="shared" si="5"/>
        <v>29.258957654723126</v>
      </c>
      <c r="F85" s="11">
        <v>29.26</v>
      </c>
      <c r="G85" s="11">
        <f t="shared" si="8"/>
        <v>29.258957654723126</v>
      </c>
      <c r="K85" s="9">
        <v>43048</v>
      </c>
      <c r="L85" s="5">
        <v>1883</v>
      </c>
      <c r="M85" s="12">
        <v>25.15</v>
      </c>
      <c r="N85" s="11">
        <v>1.34</v>
      </c>
      <c r="O85" s="11">
        <f t="shared" si="6"/>
        <v>1.3356346255974509</v>
      </c>
      <c r="P85" s="11">
        <v>1.34</v>
      </c>
      <c r="Q85" s="11">
        <f t="shared" si="7"/>
        <v>1.3356346255974509</v>
      </c>
      <c r="R85" s="25"/>
      <c r="S85" s="26"/>
    </row>
    <row r="86" spans="1:19" x14ac:dyDescent="0.25">
      <c r="A86" s="9">
        <v>43489</v>
      </c>
      <c r="B86" s="5">
        <v>707</v>
      </c>
      <c r="C86" s="12">
        <v>219.97</v>
      </c>
      <c r="D86" s="11">
        <v>31.11</v>
      </c>
      <c r="E86" s="11">
        <f t="shared" si="5"/>
        <v>31.113154172560115</v>
      </c>
      <c r="F86" s="11">
        <v>31.11</v>
      </c>
      <c r="G86" s="11">
        <f t="shared" si="8"/>
        <v>31.113154172560115</v>
      </c>
      <c r="K86" s="9">
        <v>43034</v>
      </c>
      <c r="L86" s="5">
        <v>1266</v>
      </c>
      <c r="M86" s="12">
        <v>15.87</v>
      </c>
      <c r="N86" s="11">
        <v>1.25</v>
      </c>
      <c r="O86" s="11">
        <f t="shared" si="6"/>
        <v>1.2535545023696681</v>
      </c>
      <c r="P86" s="11">
        <v>1.25</v>
      </c>
      <c r="Q86" s="11">
        <f t="shared" si="7"/>
        <v>1.2535545023696681</v>
      </c>
    </row>
    <row r="87" spans="1:19" x14ac:dyDescent="0.25">
      <c r="A87" s="9">
        <v>43486</v>
      </c>
      <c r="B87" s="5">
        <v>607</v>
      </c>
      <c r="C87" s="12">
        <v>185.62</v>
      </c>
      <c r="D87" s="11">
        <v>30.58</v>
      </c>
      <c r="E87" s="11">
        <f t="shared" si="5"/>
        <v>30.579901153212518</v>
      </c>
      <c r="F87" s="11">
        <v>30.58</v>
      </c>
      <c r="G87" s="11">
        <f t="shared" si="8"/>
        <v>30.579901153212518</v>
      </c>
      <c r="K87" s="9">
        <v>43027</v>
      </c>
      <c r="L87" s="5">
        <v>1210</v>
      </c>
      <c r="M87" s="12">
        <v>20.54</v>
      </c>
      <c r="N87" s="11">
        <v>1.7</v>
      </c>
      <c r="O87" s="11">
        <f t="shared" si="6"/>
        <v>1.6975206611570248</v>
      </c>
      <c r="P87" s="11">
        <v>1.7</v>
      </c>
      <c r="Q87" s="11">
        <f t="shared" si="7"/>
        <v>1.6975206611570248</v>
      </c>
    </row>
    <row r="88" spans="1:19" x14ac:dyDescent="0.25">
      <c r="A88" s="9">
        <v>43472</v>
      </c>
      <c r="B88" s="5">
        <v>303</v>
      </c>
      <c r="C88" s="12">
        <v>98</v>
      </c>
      <c r="D88" s="11">
        <v>32.340000000000003</v>
      </c>
      <c r="E88" s="11">
        <f t="shared" si="5"/>
        <v>32.343234323432341</v>
      </c>
      <c r="F88" s="11">
        <v>32.340000000000003</v>
      </c>
      <c r="G88" s="11">
        <f t="shared" si="8"/>
        <v>32.343234323432341</v>
      </c>
      <c r="K88" s="9">
        <v>43020</v>
      </c>
      <c r="L88" s="5">
        <v>1218</v>
      </c>
      <c r="M88" s="12">
        <v>14.84</v>
      </c>
      <c r="N88" s="11">
        <v>1.22</v>
      </c>
      <c r="O88" s="11">
        <f t="shared" si="6"/>
        <v>1.218390804597701</v>
      </c>
      <c r="P88" s="11">
        <v>1.22</v>
      </c>
      <c r="Q88" s="11">
        <f t="shared" si="7"/>
        <v>1.218390804597701</v>
      </c>
    </row>
    <row r="89" spans="1:19" x14ac:dyDescent="0.25">
      <c r="A89" s="9">
        <v>43468</v>
      </c>
      <c r="B89" s="5">
        <v>498</v>
      </c>
      <c r="C89" s="12">
        <v>162.91999999999999</v>
      </c>
      <c r="D89" s="11">
        <v>32.71</v>
      </c>
      <c r="E89" s="11">
        <f t="shared" si="5"/>
        <v>32.714859437751002</v>
      </c>
      <c r="F89" s="11">
        <v>32.71</v>
      </c>
      <c r="G89" s="11">
        <f t="shared" si="8"/>
        <v>32.714859437751002</v>
      </c>
      <c r="K89" s="9">
        <v>43013</v>
      </c>
      <c r="L89" s="5">
        <v>1000</v>
      </c>
      <c r="M89" s="12">
        <v>12.22</v>
      </c>
      <c r="N89" s="11">
        <v>1.22</v>
      </c>
      <c r="O89" s="11">
        <f t="shared" si="6"/>
        <v>1.222</v>
      </c>
      <c r="P89" s="11">
        <v>1.22</v>
      </c>
      <c r="Q89" s="11">
        <f t="shared" si="7"/>
        <v>1.222</v>
      </c>
    </row>
    <row r="90" spans="1:19" x14ac:dyDescent="0.25">
      <c r="A90" s="9">
        <v>43461</v>
      </c>
      <c r="B90" s="5">
        <v>603</v>
      </c>
      <c r="C90" s="12">
        <v>168.45</v>
      </c>
      <c r="D90" s="11">
        <v>27.94</v>
      </c>
      <c r="E90" s="11">
        <f t="shared" si="5"/>
        <v>27.935323383084576</v>
      </c>
      <c r="F90" s="11">
        <v>27.94</v>
      </c>
      <c r="G90" s="11">
        <f t="shared" si="8"/>
        <v>27.935323383084576</v>
      </c>
      <c r="K90" s="9">
        <v>43006</v>
      </c>
      <c r="L90" s="5">
        <v>966</v>
      </c>
      <c r="M90" s="12">
        <v>13.16</v>
      </c>
      <c r="N90" s="11">
        <v>1.36</v>
      </c>
      <c r="O90" s="11">
        <f t="shared" si="6"/>
        <v>1.3623188405797102</v>
      </c>
      <c r="P90" s="11">
        <v>1.36</v>
      </c>
      <c r="Q90" s="11">
        <f t="shared" si="7"/>
        <v>1.3623188405797102</v>
      </c>
    </row>
    <row r="91" spans="1:19" x14ac:dyDescent="0.25">
      <c r="A91" s="9">
        <v>43454</v>
      </c>
      <c r="B91" s="5">
        <v>556</v>
      </c>
      <c r="C91" s="12">
        <v>170.48</v>
      </c>
      <c r="D91" s="11">
        <v>30.66</v>
      </c>
      <c r="E91" s="11">
        <f t="shared" si="5"/>
        <v>30.661870503597122</v>
      </c>
      <c r="F91" s="11">
        <v>30.66</v>
      </c>
      <c r="G91" s="11">
        <f t="shared" si="8"/>
        <v>30.661870503597122</v>
      </c>
      <c r="K91" s="9">
        <v>43000</v>
      </c>
      <c r="L91" s="5">
        <v>1535</v>
      </c>
      <c r="M91" s="12">
        <v>19.2</v>
      </c>
      <c r="N91" s="11">
        <v>1.25</v>
      </c>
      <c r="O91" s="11">
        <f t="shared" si="6"/>
        <v>1.2508143322475569</v>
      </c>
      <c r="P91" s="11">
        <v>1.25</v>
      </c>
      <c r="Q91" s="11">
        <f t="shared" si="7"/>
        <v>1.2508143322475569</v>
      </c>
    </row>
    <row r="92" spans="1:19" x14ac:dyDescent="0.25">
      <c r="A92" s="9">
        <v>43451</v>
      </c>
      <c r="B92" s="5">
        <v>609</v>
      </c>
      <c r="C92" s="12">
        <v>184.65</v>
      </c>
      <c r="D92" s="11">
        <v>30.32</v>
      </c>
      <c r="E92" s="11">
        <f t="shared" si="5"/>
        <v>30.320197044334979</v>
      </c>
      <c r="F92" s="11">
        <v>30.32</v>
      </c>
      <c r="G92" s="11">
        <f t="shared" si="8"/>
        <v>30.320197044334979</v>
      </c>
      <c r="K92" s="9">
        <v>42992</v>
      </c>
      <c r="L92" s="5">
        <v>2241</v>
      </c>
      <c r="M92" s="12">
        <v>26.03</v>
      </c>
      <c r="N92" s="11">
        <v>1.1599999999999999</v>
      </c>
      <c r="O92" s="11">
        <f t="shared" si="6"/>
        <v>1.1615350290049085</v>
      </c>
      <c r="P92" s="11">
        <v>1.1599999999999999</v>
      </c>
      <c r="Q92" s="11">
        <f t="shared" si="7"/>
        <v>1.1615350290049085</v>
      </c>
    </row>
    <row r="93" spans="1:19" x14ac:dyDescent="0.25">
      <c r="A93" s="9">
        <v>43447</v>
      </c>
      <c r="B93" s="5">
        <v>562</v>
      </c>
      <c r="C93" s="12">
        <v>181.66</v>
      </c>
      <c r="D93" s="11">
        <v>32.32</v>
      </c>
      <c r="E93" s="11">
        <f t="shared" si="5"/>
        <v>32.32384341637011</v>
      </c>
      <c r="F93" s="11">
        <v>32.32</v>
      </c>
      <c r="G93" s="11">
        <f t="shared" si="8"/>
        <v>32.32384341637011</v>
      </c>
      <c r="K93" s="9">
        <v>42978</v>
      </c>
      <c r="L93" s="5">
        <v>2221</v>
      </c>
      <c r="M93" s="12">
        <v>24.87</v>
      </c>
      <c r="N93" s="11">
        <v>1.1200000000000001</v>
      </c>
      <c r="O93" s="11">
        <f t="shared" si="6"/>
        <v>1.119765871229176</v>
      </c>
      <c r="P93" s="11">
        <v>1.1200000000000001</v>
      </c>
      <c r="Q93" s="11">
        <f t="shared" si="7"/>
        <v>1.119765871229176</v>
      </c>
    </row>
    <row r="94" spans="1:19" x14ac:dyDescent="0.25">
      <c r="A94" s="9">
        <v>43444</v>
      </c>
      <c r="B94" s="5">
        <v>622</v>
      </c>
      <c r="C94" s="12">
        <v>172.33</v>
      </c>
      <c r="D94" s="11">
        <v>27.71</v>
      </c>
      <c r="E94" s="11">
        <f t="shared" si="5"/>
        <v>27.705787781350484</v>
      </c>
      <c r="F94" s="11">
        <v>27.71</v>
      </c>
      <c r="G94" s="11">
        <f t="shared" si="8"/>
        <v>27.705787781350484</v>
      </c>
      <c r="K94" s="9">
        <v>42964</v>
      </c>
      <c r="L94" s="5">
        <v>865</v>
      </c>
      <c r="M94" s="12">
        <v>10.07</v>
      </c>
      <c r="N94" s="11">
        <v>1.1599999999999999</v>
      </c>
      <c r="O94" s="11">
        <f t="shared" si="6"/>
        <v>1.1641618497109827</v>
      </c>
      <c r="P94" s="11">
        <v>1.1599999999999999</v>
      </c>
      <c r="Q94" s="11">
        <f t="shared" si="7"/>
        <v>1.1641618497109827</v>
      </c>
    </row>
    <row r="95" spans="1:19" x14ac:dyDescent="0.25">
      <c r="A95" s="9">
        <v>43440</v>
      </c>
      <c r="B95" s="5">
        <v>540</v>
      </c>
      <c r="C95" s="12">
        <v>162.01</v>
      </c>
      <c r="D95" s="11">
        <v>30</v>
      </c>
      <c r="E95" s="11">
        <f t="shared" si="5"/>
        <v>30.001851851851853</v>
      </c>
      <c r="F95" s="11">
        <v>30</v>
      </c>
      <c r="G95" s="11">
        <f t="shared" si="8"/>
        <v>30.001851851851853</v>
      </c>
      <c r="K95" s="9">
        <v>42957</v>
      </c>
      <c r="L95" s="5">
        <v>982</v>
      </c>
      <c r="M95" s="12">
        <v>11.77</v>
      </c>
      <c r="N95" s="11">
        <v>1.2</v>
      </c>
      <c r="O95" s="11">
        <f t="shared" si="6"/>
        <v>1.1985743380855396</v>
      </c>
      <c r="P95" s="11">
        <v>1.2</v>
      </c>
      <c r="Q95" s="11">
        <f t="shared" si="7"/>
        <v>1.1985743380855396</v>
      </c>
    </row>
    <row r="96" spans="1:19" x14ac:dyDescent="0.25">
      <c r="A96" s="9">
        <v>43437</v>
      </c>
      <c r="B96" s="5">
        <v>693</v>
      </c>
      <c r="C96" s="12">
        <v>195.97</v>
      </c>
      <c r="D96" s="11">
        <v>28.28</v>
      </c>
      <c r="E96" s="11">
        <f t="shared" si="5"/>
        <v>28.278499278499282</v>
      </c>
      <c r="F96" s="11">
        <v>28.28</v>
      </c>
      <c r="G96" s="11">
        <f t="shared" si="8"/>
        <v>28.278499278499282</v>
      </c>
      <c r="K96" s="9">
        <v>42950</v>
      </c>
      <c r="L96" s="5">
        <v>1139</v>
      </c>
      <c r="M96" s="12">
        <v>13.72</v>
      </c>
      <c r="N96" s="11">
        <v>1.2</v>
      </c>
      <c r="O96" s="11">
        <f t="shared" si="6"/>
        <v>1.2045654082528534</v>
      </c>
      <c r="P96" s="11">
        <v>1.2</v>
      </c>
      <c r="Q96" s="11">
        <f t="shared" si="7"/>
        <v>1.2045654082528534</v>
      </c>
    </row>
    <row r="97" spans="1:17" x14ac:dyDescent="0.25">
      <c r="A97" s="9">
        <v>43432</v>
      </c>
      <c r="B97" s="5">
        <v>462</v>
      </c>
      <c r="C97" s="12">
        <v>152.5</v>
      </c>
      <c r="D97" s="11">
        <v>33.01</v>
      </c>
      <c r="E97" s="11">
        <f t="shared" si="5"/>
        <v>33.00865800865801</v>
      </c>
      <c r="F97" s="11">
        <v>33.01</v>
      </c>
      <c r="G97" s="11">
        <f t="shared" si="8"/>
        <v>33.00865800865801</v>
      </c>
      <c r="H97" s="19">
        <v>43405</v>
      </c>
      <c r="I97" s="24">
        <f>AVERAGE(D97:D104)</f>
        <v>27.993749999999999</v>
      </c>
      <c r="K97" s="9">
        <v>42943</v>
      </c>
      <c r="L97" s="5">
        <v>1188</v>
      </c>
      <c r="M97" s="12">
        <v>14</v>
      </c>
      <c r="N97" s="11">
        <v>1.18</v>
      </c>
      <c r="O97" s="11">
        <f t="shared" si="6"/>
        <v>1.1784511784511784</v>
      </c>
      <c r="P97" s="11">
        <v>1.18</v>
      </c>
      <c r="Q97" s="11">
        <f t="shared" si="7"/>
        <v>1.1784511784511784</v>
      </c>
    </row>
    <row r="98" spans="1:17" x14ac:dyDescent="0.25">
      <c r="A98" s="9">
        <v>43430</v>
      </c>
      <c r="B98" s="5">
        <v>663</v>
      </c>
      <c r="C98" s="12">
        <v>228.5</v>
      </c>
      <c r="D98" s="11">
        <v>34.46</v>
      </c>
      <c r="E98" s="11">
        <f t="shared" si="5"/>
        <v>34.464555052790345</v>
      </c>
      <c r="F98" s="11">
        <v>34.46</v>
      </c>
      <c r="G98" s="11">
        <f t="shared" si="8"/>
        <v>34.464555052790345</v>
      </c>
      <c r="H98" s="20"/>
      <c r="I98" s="24"/>
      <c r="K98" s="9">
        <v>42936</v>
      </c>
      <c r="L98" s="5">
        <v>967</v>
      </c>
      <c r="M98" s="12">
        <v>12.51</v>
      </c>
      <c r="N98" s="11">
        <v>1.29</v>
      </c>
      <c r="O98" s="11">
        <f t="shared" ref="O98:O129" si="9">M98/L98*100</f>
        <v>1.2936918304033092</v>
      </c>
      <c r="P98" s="11">
        <v>1.29</v>
      </c>
      <c r="Q98" s="11">
        <f t="shared" si="7"/>
        <v>1.2936918304033092</v>
      </c>
    </row>
    <row r="99" spans="1:17" x14ac:dyDescent="0.25">
      <c r="A99" s="9">
        <v>43425</v>
      </c>
      <c r="B99" s="5">
        <v>640</v>
      </c>
      <c r="C99" s="12">
        <v>148.5</v>
      </c>
      <c r="D99" s="11">
        <v>23.2</v>
      </c>
      <c r="E99" s="11">
        <f t="shared" si="5"/>
        <v>23.203125</v>
      </c>
      <c r="F99" s="11">
        <v>23.2</v>
      </c>
      <c r="G99" s="11">
        <f t="shared" si="8"/>
        <v>23.203125</v>
      </c>
      <c r="H99" s="20"/>
      <c r="I99" s="24"/>
      <c r="K99" s="9">
        <v>42929</v>
      </c>
      <c r="L99" s="5">
        <v>2361</v>
      </c>
      <c r="M99" s="12">
        <v>14.36</v>
      </c>
      <c r="N99" s="11">
        <v>0.61</v>
      </c>
      <c r="O99" s="11">
        <f t="shared" si="9"/>
        <v>0.6082168572638712</v>
      </c>
      <c r="P99" s="11">
        <v>0.61</v>
      </c>
      <c r="Q99" s="11">
        <f t="shared" si="7"/>
        <v>0.6082168572638712</v>
      </c>
    </row>
    <row r="100" spans="1:17" x14ac:dyDescent="0.25">
      <c r="A100" s="9">
        <v>43419</v>
      </c>
      <c r="B100" s="5">
        <v>533</v>
      </c>
      <c r="C100" s="12">
        <v>152.6</v>
      </c>
      <c r="D100" s="11">
        <v>28.63</v>
      </c>
      <c r="E100" s="11">
        <f t="shared" si="5"/>
        <v>28.630393996247655</v>
      </c>
      <c r="F100" s="11">
        <v>28.63</v>
      </c>
      <c r="G100" s="11">
        <f t="shared" si="8"/>
        <v>28.630393996247655</v>
      </c>
      <c r="H100" s="20"/>
      <c r="I100" s="24"/>
      <c r="K100" s="9">
        <v>42922</v>
      </c>
      <c r="L100" s="5">
        <v>1174</v>
      </c>
      <c r="M100" s="12">
        <v>14.67</v>
      </c>
      <c r="N100" s="11">
        <v>1.25</v>
      </c>
      <c r="O100" s="11">
        <f t="shared" si="9"/>
        <v>1.2495741056218057</v>
      </c>
      <c r="P100" s="11">
        <v>1.25</v>
      </c>
      <c r="Q100" s="11">
        <f t="shared" si="7"/>
        <v>1.2495741056218057</v>
      </c>
    </row>
    <row r="101" spans="1:17" x14ac:dyDescent="0.25">
      <c r="A101" s="9">
        <v>43416</v>
      </c>
      <c r="B101" s="5">
        <v>613</v>
      </c>
      <c r="C101" s="12">
        <v>154.02000000000001</v>
      </c>
      <c r="D101" s="11">
        <v>25.13</v>
      </c>
      <c r="E101" s="11">
        <f t="shared" si="5"/>
        <v>25.125611745513872</v>
      </c>
      <c r="F101" s="11">
        <v>25.13</v>
      </c>
      <c r="G101" s="11">
        <f t="shared" si="8"/>
        <v>25.125611745513872</v>
      </c>
      <c r="H101" s="20"/>
      <c r="I101" s="24"/>
      <c r="K101" s="9">
        <v>42915</v>
      </c>
      <c r="L101" s="5">
        <v>1107</v>
      </c>
      <c r="M101" s="12">
        <v>14.01</v>
      </c>
      <c r="N101" s="11">
        <v>1.27</v>
      </c>
      <c r="O101" s="11">
        <f t="shared" si="9"/>
        <v>1.2655826558265584</v>
      </c>
      <c r="P101" s="11">
        <v>1.27</v>
      </c>
      <c r="Q101" s="11">
        <f t="shared" si="7"/>
        <v>1.2655826558265584</v>
      </c>
    </row>
    <row r="102" spans="1:17" x14ac:dyDescent="0.25">
      <c r="A102" s="9">
        <v>43412</v>
      </c>
      <c r="B102" s="5">
        <v>330</v>
      </c>
      <c r="C102" s="12">
        <v>90.2</v>
      </c>
      <c r="D102" s="11">
        <v>27.33</v>
      </c>
      <c r="E102" s="11">
        <f t="shared" si="5"/>
        <v>27.333333333333332</v>
      </c>
      <c r="F102" s="11">
        <v>27.33</v>
      </c>
      <c r="G102" s="11">
        <f t="shared" si="8"/>
        <v>27.333333333333332</v>
      </c>
      <c r="H102" s="20"/>
      <c r="I102" s="24"/>
      <c r="K102" s="9">
        <v>42908</v>
      </c>
      <c r="L102" s="5">
        <v>963</v>
      </c>
      <c r="M102" s="12">
        <v>14.58</v>
      </c>
      <c r="N102" s="11">
        <v>1.51</v>
      </c>
      <c r="O102" s="11">
        <f t="shared" si="9"/>
        <v>1.514018691588785</v>
      </c>
      <c r="P102" s="11">
        <v>1.51</v>
      </c>
      <c r="Q102" s="11">
        <f t="shared" si="7"/>
        <v>1.514018691588785</v>
      </c>
    </row>
    <row r="103" spans="1:17" x14ac:dyDescent="0.25">
      <c r="A103" s="9">
        <v>43410</v>
      </c>
      <c r="B103" s="5">
        <v>629</v>
      </c>
      <c r="C103" s="12">
        <v>164.98</v>
      </c>
      <c r="D103" s="11">
        <v>26.23</v>
      </c>
      <c r="E103" s="11">
        <f t="shared" si="5"/>
        <v>26.228934817170106</v>
      </c>
      <c r="F103" s="11">
        <v>26.23</v>
      </c>
      <c r="G103" s="11">
        <f t="shared" si="8"/>
        <v>26.228934817170106</v>
      </c>
      <c r="H103" s="20"/>
      <c r="I103" s="24"/>
      <c r="K103" s="9">
        <v>42902</v>
      </c>
      <c r="L103" s="5">
        <v>1126</v>
      </c>
      <c r="M103" s="12">
        <v>13</v>
      </c>
      <c r="N103" s="11">
        <v>1.1499999999999999</v>
      </c>
      <c r="O103" s="11">
        <f t="shared" si="9"/>
        <v>1.1545293072824157</v>
      </c>
      <c r="P103" s="11">
        <v>1.1499999999999999</v>
      </c>
      <c r="Q103" s="11">
        <f t="shared" si="7"/>
        <v>1.1545293072824157</v>
      </c>
    </row>
    <row r="104" spans="1:17" x14ac:dyDescent="0.25">
      <c r="A104" s="9">
        <v>43406</v>
      </c>
      <c r="B104" s="5">
        <v>570</v>
      </c>
      <c r="C104" s="12">
        <v>148</v>
      </c>
      <c r="D104" s="11">
        <v>25.96</v>
      </c>
      <c r="E104" s="11">
        <f t="shared" si="5"/>
        <v>25.964912280701753</v>
      </c>
      <c r="F104" s="11">
        <v>25.96</v>
      </c>
      <c r="G104" s="11">
        <f t="shared" si="8"/>
        <v>25.964912280701753</v>
      </c>
      <c r="H104" s="20"/>
      <c r="I104" s="24"/>
      <c r="K104" s="9">
        <v>42894</v>
      </c>
      <c r="L104" s="5">
        <v>928</v>
      </c>
      <c r="M104" s="12">
        <v>11.5</v>
      </c>
      <c r="N104" s="11">
        <v>1.24</v>
      </c>
      <c r="O104" s="11">
        <f t="shared" si="9"/>
        <v>1.2392241379310345</v>
      </c>
      <c r="P104" s="11">
        <v>1.24</v>
      </c>
      <c r="Q104" s="11">
        <f t="shared" si="7"/>
        <v>1.2392241379310345</v>
      </c>
    </row>
    <row r="105" spans="1:17" x14ac:dyDescent="0.25">
      <c r="A105" s="9">
        <v>43402</v>
      </c>
      <c r="B105" s="5">
        <v>187</v>
      </c>
      <c r="C105" s="12">
        <v>60</v>
      </c>
      <c r="D105" s="11">
        <v>32.090000000000003</v>
      </c>
      <c r="E105" s="11">
        <f t="shared" si="5"/>
        <v>32.085561497326204</v>
      </c>
      <c r="F105" s="11">
        <v>32.090000000000003</v>
      </c>
      <c r="G105" s="11">
        <f t="shared" si="8"/>
        <v>32.085561497326204</v>
      </c>
      <c r="K105" s="9">
        <v>42887</v>
      </c>
      <c r="L105" s="5">
        <v>2131</v>
      </c>
      <c r="M105" s="12">
        <v>32.39</v>
      </c>
      <c r="N105" s="11">
        <v>1.52</v>
      </c>
      <c r="O105" s="11">
        <f t="shared" si="9"/>
        <v>1.5199436884091975</v>
      </c>
      <c r="P105" s="11">
        <v>1.52</v>
      </c>
      <c r="Q105" s="11">
        <f t="shared" si="7"/>
        <v>1.5199436884091975</v>
      </c>
    </row>
    <row r="106" spans="1:17" x14ac:dyDescent="0.25">
      <c r="A106" s="9">
        <v>43398</v>
      </c>
      <c r="B106" s="5">
        <v>610</v>
      </c>
      <c r="C106" s="12">
        <v>178</v>
      </c>
      <c r="D106" s="11">
        <v>29.18</v>
      </c>
      <c r="E106" s="11">
        <f t="shared" si="5"/>
        <v>29.180327868852459</v>
      </c>
      <c r="F106" s="11">
        <v>29.18</v>
      </c>
      <c r="G106" s="11">
        <f t="shared" si="8"/>
        <v>29.180327868852459</v>
      </c>
      <c r="K106" s="9">
        <v>42873</v>
      </c>
      <c r="L106" s="5">
        <v>1178</v>
      </c>
      <c r="M106" s="12">
        <v>14</v>
      </c>
      <c r="N106" s="11">
        <v>1.19</v>
      </c>
      <c r="O106" s="11">
        <f t="shared" si="9"/>
        <v>1.1884550084889642</v>
      </c>
      <c r="P106" s="11">
        <v>1.19</v>
      </c>
      <c r="Q106" s="11">
        <f t="shared" si="7"/>
        <v>1.1884550084889642</v>
      </c>
    </row>
    <row r="107" spans="1:17" x14ac:dyDescent="0.25">
      <c r="A107" s="9">
        <v>43395</v>
      </c>
      <c r="B107" s="5">
        <v>653</v>
      </c>
      <c r="C107" s="12">
        <v>177.35</v>
      </c>
      <c r="D107" s="11">
        <v>27.16</v>
      </c>
      <c r="E107" s="11">
        <f t="shared" si="5"/>
        <v>27.159264931087289</v>
      </c>
      <c r="F107" s="11">
        <v>27.16</v>
      </c>
      <c r="G107" s="11">
        <f t="shared" si="8"/>
        <v>27.159264931087289</v>
      </c>
      <c r="K107" s="9">
        <v>42866</v>
      </c>
      <c r="L107" s="5">
        <v>1201</v>
      </c>
      <c r="M107" s="12">
        <v>16.25</v>
      </c>
      <c r="N107" s="11">
        <v>1.35</v>
      </c>
      <c r="O107" s="11">
        <f t="shared" si="9"/>
        <v>1.3530391340549544</v>
      </c>
      <c r="P107" s="11">
        <v>1.35</v>
      </c>
      <c r="Q107" s="11">
        <f t="shared" si="7"/>
        <v>1.3530391340549544</v>
      </c>
    </row>
    <row r="108" spans="1:17" x14ac:dyDescent="0.25">
      <c r="A108" s="9">
        <v>43391</v>
      </c>
      <c r="B108" s="5">
        <v>605</v>
      </c>
      <c r="C108" s="12">
        <v>166.46</v>
      </c>
      <c r="D108" s="11">
        <v>27.51</v>
      </c>
      <c r="E108" s="11">
        <f t="shared" si="5"/>
        <v>27.514049586776864</v>
      </c>
      <c r="F108" s="11">
        <v>27.51</v>
      </c>
      <c r="G108" s="11">
        <f t="shared" si="8"/>
        <v>27.514049586776864</v>
      </c>
      <c r="K108" s="9">
        <v>42859</v>
      </c>
      <c r="L108" s="5">
        <v>990</v>
      </c>
      <c r="M108" s="12">
        <v>13.28</v>
      </c>
      <c r="N108" s="11">
        <v>1.34</v>
      </c>
      <c r="O108" s="11">
        <f t="shared" si="9"/>
        <v>1.3414141414141414</v>
      </c>
      <c r="P108" s="11">
        <v>1.34</v>
      </c>
      <c r="Q108" s="11">
        <f t="shared" si="7"/>
        <v>1.3414141414141414</v>
      </c>
    </row>
    <row r="109" spans="1:17" x14ac:dyDescent="0.25">
      <c r="A109" s="9">
        <v>43388</v>
      </c>
      <c r="B109" s="5">
        <v>619</v>
      </c>
      <c r="C109" s="12">
        <v>162</v>
      </c>
      <c r="D109" s="11">
        <v>26.17</v>
      </c>
      <c r="E109" s="11">
        <f t="shared" si="5"/>
        <v>26.171243941841681</v>
      </c>
      <c r="F109" s="11">
        <v>26.17</v>
      </c>
      <c r="G109" s="11">
        <f t="shared" si="8"/>
        <v>26.171243941841681</v>
      </c>
      <c r="K109" s="9">
        <v>42852</v>
      </c>
      <c r="L109" s="5">
        <v>1215</v>
      </c>
      <c r="M109" s="12">
        <v>14.97</v>
      </c>
      <c r="N109" s="11">
        <v>1.23</v>
      </c>
      <c r="O109" s="11">
        <f t="shared" si="9"/>
        <v>1.2320987654320987</v>
      </c>
      <c r="P109" s="11">
        <v>1.23</v>
      </c>
      <c r="Q109" s="11">
        <f t="shared" si="7"/>
        <v>1.2320987654320987</v>
      </c>
    </row>
    <row r="110" spans="1:17" x14ac:dyDescent="0.25">
      <c r="A110" s="9">
        <v>43384</v>
      </c>
      <c r="B110" s="5">
        <v>547</v>
      </c>
      <c r="C110" s="12">
        <v>146.76</v>
      </c>
      <c r="D110" s="11">
        <v>26.83</v>
      </c>
      <c r="E110" s="11">
        <f t="shared" si="5"/>
        <v>26.829981718464353</v>
      </c>
      <c r="F110" s="11">
        <v>26.83</v>
      </c>
      <c r="G110" s="11">
        <f t="shared" si="8"/>
        <v>26.829981718464353</v>
      </c>
      <c r="K110" s="9">
        <v>42848</v>
      </c>
      <c r="L110" s="5">
        <v>1151</v>
      </c>
      <c r="M110" s="12">
        <v>14.38</v>
      </c>
      <c r="N110" s="11">
        <v>1.25</v>
      </c>
      <c r="O110" s="11">
        <f t="shared" si="9"/>
        <v>1.2493483927019984</v>
      </c>
      <c r="P110" s="11">
        <v>1.25</v>
      </c>
      <c r="Q110" s="11">
        <f t="shared" si="7"/>
        <v>1.2493483927019984</v>
      </c>
    </row>
    <row r="111" spans="1:17" x14ac:dyDescent="0.25">
      <c r="A111" s="9">
        <v>43381</v>
      </c>
      <c r="B111" s="5">
        <v>611</v>
      </c>
      <c r="C111" s="12">
        <v>155.97999999999999</v>
      </c>
      <c r="D111" s="11">
        <v>25.53</v>
      </c>
      <c r="E111" s="11">
        <f t="shared" si="5"/>
        <v>25.528641571194761</v>
      </c>
      <c r="F111" s="11">
        <v>25.53</v>
      </c>
      <c r="G111" s="11">
        <f t="shared" si="8"/>
        <v>25.528641571194761</v>
      </c>
      <c r="K111" s="9">
        <v>42845</v>
      </c>
      <c r="L111" s="5">
        <v>710</v>
      </c>
      <c r="M111" s="12">
        <v>8.82</v>
      </c>
      <c r="N111" s="11">
        <v>1.24</v>
      </c>
      <c r="O111" s="11">
        <f t="shared" si="9"/>
        <v>1.2422535211267607</v>
      </c>
      <c r="P111" s="11">
        <v>1.24</v>
      </c>
      <c r="Q111" s="11">
        <f t="shared" si="7"/>
        <v>1.2422535211267607</v>
      </c>
    </row>
    <row r="112" spans="1:17" x14ac:dyDescent="0.25">
      <c r="A112" s="9">
        <v>43377</v>
      </c>
      <c r="B112" s="5">
        <v>334</v>
      </c>
      <c r="C112" s="12">
        <v>88.45</v>
      </c>
      <c r="D112" s="11">
        <v>26.48</v>
      </c>
      <c r="E112" s="11">
        <f t="shared" si="5"/>
        <v>26.482035928143716</v>
      </c>
      <c r="F112" s="11">
        <v>26.48</v>
      </c>
      <c r="G112" s="11">
        <f t="shared" si="8"/>
        <v>26.482035928143716</v>
      </c>
      <c r="K112" s="9">
        <v>42838</v>
      </c>
      <c r="L112" s="5">
        <v>1193</v>
      </c>
      <c r="M112" s="12">
        <v>13.48</v>
      </c>
      <c r="N112" s="11">
        <v>1.1299999999999999</v>
      </c>
      <c r="O112" s="11">
        <f t="shared" si="9"/>
        <v>1.1299245599329422</v>
      </c>
      <c r="P112" s="11">
        <v>1.1299999999999999</v>
      </c>
      <c r="Q112" s="11">
        <f t="shared" si="7"/>
        <v>1.1299245599329422</v>
      </c>
    </row>
    <row r="113" spans="1:17" x14ac:dyDescent="0.25">
      <c r="A113" s="9">
        <v>43374</v>
      </c>
      <c r="B113" s="5">
        <v>627</v>
      </c>
      <c r="C113" s="12">
        <v>158.28</v>
      </c>
      <c r="D113" s="11">
        <v>25.24</v>
      </c>
      <c r="E113" s="11">
        <f t="shared" si="5"/>
        <v>25.244019138755981</v>
      </c>
      <c r="F113" s="11">
        <v>25.24</v>
      </c>
      <c r="G113" s="11">
        <f t="shared" si="8"/>
        <v>25.244019138755981</v>
      </c>
      <c r="K113" s="9">
        <v>42831</v>
      </c>
      <c r="L113" s="5">
        <v>1172</v>
      </c>
      <c r="M113" s="12">
        <v>14.43</v>
      </c>
      <c r="N113" s="11">
        <v>1.23</v>
      </c>
      <c r="O113" s="11">
        <f t="shared" si="9"/>
        <v>1.2312286689419794</v>
      </c>
      <c r="P113" s="11">
        <v>1.23</v>
      </c>
      <c r="Q113" s="11">
        <f t="shared" si="7"/>
        <v>1.2312286689419794</v>
      </c>
    </row>
    <row r="114" spans="1:17" x14ac:dyDescent="0.25">
      <c r="A114" s="9">
        <v>43370</v>
      </c>
      <c r="B114" s="5">
        <v>549</v>
      </c>
      <c r="C114" s="12">
        <v>151.24</v>
      </c>
      <c r="D114" s="11">
        <v>27.55</v>
      </c>
      <c r="E114" s="11">
        <f t="shared" si="5"/>
        <v>27.548269581056466</v>
      </c>
      <c r="F114" s="11">
        <v>27.55</v>
      </c>
      <c r="G114" s="11">
        <f t="shared" si="8"/>
        <v>27.548269581056466</v>
      </c>
      <c r="K114" s="9">
        <v>42824</v>
      </c>
      <c r="L114" s="5">
        <v>1183</v>
      </c>
      <c r="M114" s="12">
        <v>14.77</v>
      </c>
      <c r="N114" s="11">
        <v>1.25</v>
      </c>
      <c r="O114" s="11">
        <f t="shared" si="9"/>
        <v>1.2485207100591715</v>
      </c>
      <c r="P114" s="11">
        <v>1.25</v>
      </c>
      <c r="Q114" s="11">
        <f t="shared" si="7"/>
        <v>1.2485207100591715</v>
      </c>
    </row>
    <row r="115" spans="1:17" x14ac:dyDescent="0.25">
      <c r="A115" s="9">
        <v>43367</v>
      </c>
      <c r="B115" s="5">
        <v>609</v>
      </c>
      <c r="C115" s="12">
        <v>153.94</v>
      </c>
      <c r="D115" s="11">
        <v>25.28</v>
      </c>
      <c r="E115" s="11">
        <f t="shared" si="5"/>
        <v>25.277504105090308</v>
      </c>
      <c r="F115" s="11">
        <v>25.28</v>
      </c>
      <c r="G115" s="11">
        <f t="shared" si="8"/>
        <v>25.277504105090308</v>
      </c>
      <c r="K115" s="9">
        <v>42817</v>
      </c>
      <c r="L115" s="5">
        <v>1180</v>
      </c>
      <c r="M115" s="12">
        <v>14.21</v>
      </c>
      <c r="N115" s="11">
        <v>1.2</v>
      </c>
      <c r="O115" s="11">
        <f t="shared" si="9"/>
        <v>1.2042372881355934</v>
      </c>
      <c r="P115" s="11">
        <v>1.2</v>
      </c>
      <c r="Q115" s="11">
        <f t="shared" si="7"/>
        <v>1.2042372881355934</v>
      </c>
    </row>
    <row r="116" spans="1:17" x14ac:dyDescent="0.25">
      <c r="A116" s="9">
        <v>43363</v>
      </c>
      <c r="B116" s="5">
        <v>492</v>
      </c>
      <c r="C116" s="12">
        <v>137.94</v>
      </c>
      <c r="D116" s="11">
        <v>28.04</v>
      </c>
      <c r="E116" s="11">
        <f t="shared" si="5"/>
        <v>28.036585365853657</v>
      </c>
      <c r="F116" s="11">
        <v>28.04</v>
      </c>
      <c r="G116" s="11">
        <f t="shared" si="8"/>
        <v>28.036585365853657</v>
      </c>
      <c r="K116" s="9">
        <v>42810</v>
      </c>
      <c r="L116" s="5">
        <v>841</v>
      </c>
      <c r="M116" s="12">
        <v>12.3</v>
      </c>
      <c r="N116" s="11">
        <v>1.46</v>
      </c>
      <c r="O116" s="11">
        <f t="shared" si="9"/>
        <v>1.4625445897740785</v>
      </c>
      <c r="P116" s="11">
        <v>1.46</v>
      </c>
      <c r="Q116" s="11">
        <f t="shared" si="7"/>
        <v>1.4625445897740785</v>
      </c>
    </row>
    <row r="117" spans="1:17" x14ac:dyDescent="0.25">
      <c r="A117" s="9">
        <v>43357</v>
      </c>
      <c r="B117" s="5">
        <v>774</v>
      </c>
      <c r="C117" s="12">
        <v>201.62</v>
      </c>
      <c r="D117" s="11">
        <v>26.05</v>
      </c>
      <c r="E117" s="11">
        <f t="shared" si="5"/>
        <v>26.049095607235145</v>
      </c>
      <c r="F117" s="11">
        <v>26.05</v>
      </c>
      <c r="G117" s="11">
        <f t="shared" si="8"/>
        <v>26.049095607235145</v>
      </c>
      <c r="K117" s="9">
        <v>42804</v>
      </c>
      <c r="L117" s="5">
        <v>1557</v>
      </c>
      <c r="M117" s="12">
        <v>18</v>
      </c>
      <c r="N117" s="11">
        <v>1.1599999999999999</v>
      </c>
      <c r="O117" s="11">
        <f t="shared" si="9"/>
        <v>1.1560693641618496</v>
      </c>
      <c r="P117" s="11">
        <v>1.1599999999999999</v>
      </c>
      <c r="Q117" s="11">
        <f t="shared" si="7"/>
        <v>1.1560693641618496</v>
      </c>
    </row>
    <row r="118" spans="1:17" x14ac:dyDescent="0.25">
      <c r="A118" s="9">
        <v>43353</v>
      </c>
      <c r="B118" s="5">
        <v>606</v>
      </c>
      <c r="C118" s="12">
        <v>142.47</v>
      </c>
      <c r="D118" s="11">
        <v>23.51</v>
      </c>
      <c r="E118" s="11">
        <f t="shared" si="5"/>
        <v>23.509900990099009</v>
      </c>
      <c r="F118" s="11">
        <v>23.51</v>
      </c>
      <c r="G118" s="11">
        <f t="shared" si="8"/>
        <v>23.509900990099009</v>
      </c>
      <c r="K118" s="9">
        <v>42796</v>
      </c>
      <c r="L118" s="5">
        <v>1136</v>
      </c>
      <c r="M118" s="12">
        <v>13.45</v>
      </c>
      <c r="N118" s="11">
        <v>1.18</v>
      </c>
      <c r="O118" s="11">
        <f t="shared" si="9"/>
        <v>1.1839788732394365</v>
      </c>
      <c r="P118" s="11">
        <v>1.18</v>
      </c>
      <c r="Q118" s="11">
        <f t="shared" si="7"/>
        <v>1.1839788732394365</v>
      </c>
    </row>
    <row r="119" spans="1:17" x14ac:dyDescent="0.25">
      <c r="A119" s="9">
        <v>43349</v>
      </c>
      <c r="B119" s="5">
        <v>541</v>
      </c>
      <c r="C119" s="12">
        <v>138.13999999999999</v>
      </c>
      <c r="D119" s="11">
        <v>25.53</v>
      </c>
      <c r="E119" s="11">
        <f t="shared" si="5"/>
        <v>25.534195933456559</v>
      </c>
      <c r="F119" s="11">
        <v>25.53</v>
      </c>
      <c r="G119" s="11">
        <f t="shared" si="8"/>
        <v>25.534195933456559</v>
      </c>
      <c r="K119" s="9">
        <v>42789</v>
      </c>
      <c r="L119" s="5">
        <v>1189</v>
      </c>
      <c r="M119" s="12">
        <v>14.09</v>
      </c>
      <c r="N119" s="11">
        <v>1.19</v>
      </c>
      <c r="O119" s="11">
        <f t="shared" si="9"/>
        <v>1.1850294365012615</v>
      </c>
      <c r="P119" s="11">
        <v>1.19</v>
      </c>
      <c r="Q119" s="11">
        <f t="shared" si="7"/>
        <v>1.1850294365012615</v>
      </c>
    </row>
    <row r="120" spans="1:17" x14ac:dyDescent="0.25">
      <c r="A120" s="9">
        <v>43346</v>
      </c>
      <c r="B120" s="5">
        <v>618</v>
      </c>
      <c r="C120" s="12">
        <v>142.94</v>
      </c>
      <c r="D120" s="11">
        <v>23.13</v>
      </c>
      <c r="E120" s="11">
        <f t="shared" si="5"/>
        <v>23.129449838187703</v>
      </c>
      <c r="F120" s="11">
        <v>23.13</v>
      </c>
      <c r="G120" s="11">
        <f t="shared" si="8"/>
        <v>23.129449838187703</v>
      </c>
      <c r="K120" s="9">
        <v>42782</v>
      </c>
      <c r="L120" s="5">
        <v>2375</v>
      </c>
      <c r="M120" s="12">
        <v>27.89</v>
      </c>
      <c r="N120" s="11">
        <v>1.17</v>
      </c>
      <c r="O120" s="11">
        <f t="shared" si="9"/>
        <v>1.1743157894736842</v>
      </c>
      <c r="P120" s="11">
        <v>1.17</v>
      </c>
      <c r="Q120" s="11">
        <f t="shared" si="7"/>
        <v>1.1743157894736842</v>
      </c>
    </row>
    <row r="121" spans="1:17" x14ac:dyDescent="0.25">
      <c r="A121" s="9">
        <v>43342</v>
      </c>
      <c r="B121" s="5">
        <v>541</v>
      </c>
      <c r="C121" s="12">
        <v>133.51</v>
      </c>
      <c r="D121" s="11">
        <v>24.68</v>
      </c>
      <c r="E121" s="11">
        <f t="shared" si="5"/>
        <v>24.67837338262477</v>
      </c>
      <c r="F121" s="11">
        <v>24.68</v>
      </c>
      <c r="G121" s="11">
        <f t="shared" si="8"/>
        <v>24.67837338262477</v>
      </c>
      <c r="K121" s="9">
        <v>42768</v>
      </c>
      <c r="L121" s="5">
        <v>1175</v>
      </c>
      <c r="M121" s="12">
        <v>12.68</v>
      </c>
      <c r="N121" s="11">
        <v>1.08</v>
      </c>
      <c r="O121" s="11">
        <f t="shared" si="9"/>
        <v>1.0791489361702129</v>
      </c>
      <c r="P121" s="11">
        <v>1.08</v>
      </c>
      <c r="Q121" s="11">
        <f t="shared" si="7"/>
        <v>1.0791489361702129</v>
      </c>
    </row>
    <row r="122" spans="1:17" x14ac:dyDescent="0.25">
      <c r="A122" s="9">
        <v>43339</v>
      </c>
      <c r="B122" s="5">
        <v>601</v>
      </c>
      <c r="C122" s="12">
        <v>140.91</v>
      </c>
      <c r="D122" s="11">
        <v>23.45</v>
      </c>
      <c r="E122" s="11">
        <f t="shared" si="5"/>
        <v>23.445923460898502</v>
      </c>
      <c r="F122" s="11">
        <v>23.45</v>
      </c>
      <c r="G122" s="11">
        <f t="shared" si="8"/>
        <v>23.445923460898502</v>
      </c>
      <c r="K122" s="9">
        <v>42761</v>
      </c>
      <c r="L122" s="5">
        <v>1051</v>
      </c>
      <c r="M122" s="12">
        <v>13.45</v>
      </c>
      <c r="N122" s="11">
        <v>1.28</v>
      </c>
      <c r="O122" s="11">
        <f t="shared" si="9"/>
        <v>1.2797335870599427</v>
      </c>
      <c r="P122" s="11">
        <v>1.28</v>
      </c>
      <c r="Q122" s="11">
        <f t="shared" si="7"/>
        <v>1.2797335870599427</v>
      </c>
    </row>
    <row r="123" spans="1:17" x14ac:dyDescent="0.25">
      <c r="A123" s="9">
        <v>43335</v>
      </c>
      <c r="B123" s="5">
        <v>758</v>
      </c>
      <c r="C123" s="12">
        <v>178.42</v>
      </c>
      <c r="D123" s="11">
        <v>23.54</v>
      </c>
      <c r="E123" s="11">
        <f t="shared" si="5"/>
        <v>23.538258575197887</v>
      </c>
      <c r="F123" s="11">
        <v>23.54</v>
      </c>
      <c r="G123" s="11">
        <f t="shared" si="8"/>
        <v>23.538258575197887</v>
      </c>
      <c r="K123" s="9">
        <v>42754</v>
      </c>
      <c r="L123" s="5">
        <v>1326</v>
      </c>
      <c r="M123" s="12">
        <v>15.71</v>
      </c>
      <c r="N123" s="11">
        <v>1.18</v>
      </c>
      <c r="O123" s="11">
        <f t="shared" si="9"/>
        <v>1.1847662141779789</v>
      </c>
      <c r="P123" s="11">
        <v>1.18</v>
      </c>
      <c r="Q123" s="11">
        <f t="shared" si="7"/>
        <v>1.1847662141779789</v>
      </c>
    </row>
    <row r="124" spans="1:17" x14ac:dyDescent="0.25">
      <c r="A124" s="9">
        <v>43329</v>
      </c>
      <c r="B124" s="5">
        <v>669</v>
      </c>
      <c r="C124" s="12">
        <v>158.37</v>
      </c>
      <c r="D124" s="11">
        <v>23.67</v>
      </c>
      <c r="E124" s="11">
        <f t="shared" si="5"/>
        <v>23.672645739910315</v>
      </c>
      <c r="F124" s="11">
        <v>23.67</v>
      </c>
      <c r="G124" s="11">
        <f t="shared" si="8"/>
        <v>23.672645739910315</v>
      </c>
      <c r="K124" s="9">
        <v>42747</v>
      </c>
      <c r="L124" s="5">
        <v>906</v>
      </c>
      <c r="M124" s="12">
        <v>10.92</v>
      </c>
      <c r="N124" s="11">
        <v>1.21</v>
      </c>
      <c r="O124" s="11">
        <f t="shared" si="9"/>
        <v>1.2052980132450331</v>
      </c>
      <c r="P124" s="11">
        <v>1.21</v>
      </c>
      <c r="Q124" s="11">
        <f t="shared" si="7"/>
        <v>1.2052980132450331</v>
      </c>
    </row>
    <row r="125" spans="1:17" x14ac:dyDescent="0.25">
      <c r="A125" s="9">
        <v>43325</v>
      </c>
      <c r="B125" s="5">
        <v>634</v>
      </c>
      <c r="C125" s="12">
        <v>147.86000000000001</v>
      </c>
      <c r="D125" s="11">
        <v>23.32</v>
      </c>
      <c r="E125" s="11">
        <f t="shared" si="5"/>
        <v>23.321766561514199</v>
      </c>
      <c r="F125" s="11">
        <v>23.32</v>
      </c>
      <c r="G125" s="11">
        <f t="shared" si="8"/>
        <v>23.321766561514199</v>
      </c>
      <c r="K125" s="9">
        <v>42726</v>
      </c>
      <c r="L125" s="5">
        <v>1129</v>
      </c>
      <c r="M125" s="12">
        <v>13.15</v>
      </c>
      <c r="N125" s="11">
        <v>1.1599999999999999</v>
      </c>
      <c r="O125" s="11">
        <f t="shared" si="9"/>
        <v>1.1647475642161205</v>
      </c>
      <c r="P125" s="11">
        <v>1.1599999999999999</v>
      </c>
      <c r="Q125" s="11">
        <f t="shared" si="7"/>
        <v>1.1647475642161205</v>
      </c>
    </row>
    <row r="126" spans="1:17" x14ac:dyDescent="0.25">
      <c r="A126" s="9">
        <v>43321</v>
      </c>
      <c r="B126" s="5">
        <v>687</v>
      </c>
      <c r="C126" s="12">
        <v>173.93</v>
      </c>
      <c r="D126" s="11">
        <v>25.32</v>
      </c>
      <c r="E126" s="11">
        <f t="shared" si="5"/>
        <v>25.317321688500726</v>
      </c>
      <c r="F126" s="11">
        <v>25.32</v>
      </c>
      <c r="G126" s="11">
        <f t="shared" si="8"/>
        <v>25.317321688500726</v>
      </c>
      <c r="K126" s="9">
        <v>42719</v>
      </c>
      <c r="L126" s="5">
        <v>1142</v>
      </c>
      <c r="M126" s="12">
        <v>13.51</v>
      </c>
      <c r="N126" s="11">
        <v>1.18</v>
      </c>
      <c r="O126" s="11">
        <f t="shared" si="9"/>
        <v>1.1830122591943957</v>
      </c>
      <c r="P126" s="11">
        <v>1.18</v>
      </c>
      <c r="Q126" s="11">
        <f t="shared" si="7"/>
        <v>1.1830122591943957</v>
      </c>
    </row>
    <row r="127" spans="1:17" x14ac:dyDescent="0.25">
      <c r="A127" s="9">
        <v>43318</v>
      </c>
      <c r="B127" s="5">
        <v>320</v>
      </c>
      <c r="C127" s="12">
        <v>78.37</v>
      </c>
      <c r="D127" s="11">
        <v>24.49</v>
      </c>
      <c r="E127" s="11">
        <f t="shared" si="5"/>
        <v>24.490625000000001</v>
      </c>
      <c r="F127" s="11">
        <v>24.49</v>
      </c>
      <c r="G127" s="11">
        <f t="shared" si="8"/>
        <v>24.490625000000001</v>
      </c>
      <c r="K127" s="9">
        <v>42712</v>
      </c>
      <c r="L127" s="5">
        <v>1134</v>
      </c>
      <c r="M127" s="12">
        <v>13.16</v>
      </c>
      <c r="N127" s="11">
        <v>1.1599999999999999</v>
      </c>
      <c r="O127" s="11">
        <f t="shared" si="9"/>
        <v>1.1604938271604939</v>
      </c>
      <c r="P127" s="11">
        <v>1.1599999999999999</v>
      </c>
      <c r="Q127" s="11">
        <f t="shared" si="7"/>
        <v>1.1604938271604939</v>
      </c>
    </row>
    <row r="128" spans="1:17" x14ac:dyDescent="0.25">
      <c r="A128" s="9">
        <v>43314</v>
      </c>
      <c r="B128" s="5">
        <v>668</v>
      </c>
      <c r="C128" s="12">
        <v>172.31</v>
      </c>
      <c r="D128" s="11">
        <v>25.79</v>
      </c>
      <c r="E128" s="11">
        <f t="shared" si="5"/>
        <v>25.794910179640716</v>
      </c>
      <c r="F128" s="11">
        <v>25.79</v>
      </c>
      <c r="G128" s="11">
        <f t="shared" si="8"/>
        <v>25.794910179640716</v>
      </c>
      <c r="K128" s="9">
        <v>42705</v>
      </c>
      <c r="L128" s="5">
        <v>2277</v>
      </c>
      <c r="M128" s="12">
        <v>20.37</v>
      </c>
      <c r="N128" s="11">
        <v>0.89</v>
      </c>
      <c r="O128" s="11">
        <f t="shared" si="9"/>
        <v>0.8945981554677207</v>
      </c>
      <c r="P128" s="11">
        <v>0.89</v>
      </c>
      <c r="Q128" s="11">
        <f t="shared" si="7"/>
        <v>0.8945981554677207</v>
      </c>
    </row>
    <row r="129" spans="1:17" x14ac:dyDescent="0.25">
      <c r="A129" s="9">
        <v>43311</v>
      </c>
      <c r="B129" s="5">
        <v>603</v>
      </c>
      <c r="C129" s="12">
        <v>158.41</v>
      </c>
      <c r="D129" s="11">
        <v>26.27</v>
      </c>
      <c r="E129" s="11">
        <f t="shared" si="5"/>
        <v>26.270315091210612</v>
      </c>
      <c r="F129" s="11">
        <v>26.27</v>
      </c>
      <c r="G129" s="11">
        <f t="shared" si="8"/>
        <v>26.270315091210612</v>
      </c>
      <c r="K129" s="9">
        <v>42691</v>
      </c>
      <c r="L129" s="5">
        <v>1154</v>
      </c>
      <c r="M129" s="12">
        <v>14</v>
      </c>
      <c r="N129" s="11">
        <v>1.21</v>
      </c>
      <c r="O129" s="11">
        <f t="shared" si="9"/>
        <v>1.2131715771230502</v>
      </c>
      <c r="P129" s="11">
        <v>1.21</v>
      </c>
      <c r="Q129" s="11">
        <f t="shared" si="7"/>
        <v>1.2131715771230502</v>
      </c>
    </row>
    <row r="130" spans="1:17" x14ac:dyDescent="0.25">
      <c r="A130" s="9">
        <v>43307</v>
      </c>
      <c r="B130" s="5">
        <v>547</v>
      </c>
      <c r="C130" s="12">
        <v>148.22</v>
      </c>
      <c r="D130" s="11">
        <v>27.1</v>
      </c>
      <c r="E130" s="11">
        <f t="shared" ref="E130:E193" si="10">C130/B130*100</f>
        <v>27.096892138939673</v>
      </c>
      <c r="F130" s="11">
        <v>27.1</v>
      </c>
      <c r="G130" s="11">
        <f t="shared" si="8"/>
        <v>27.096892138939673</v>
      </c>
      <c r="K130" s="9">
        <v>42684</v>
      </c>
      <c r="L130" s="5">
        <v>800</v>
      </c>
      <c r="M130" s="12">
        <v>7.9</v>
      </c>
      <c r="N130" s="11">
        <v>0.99</v>
      </c>
      <c r="O130" s="11">
        <f t="shared" ref="O130:O161" si="11">M130/L130*100</f>
        <v>0.98750000000000004</v>
      </c>
      <c r="P130" s="11">
        <v>0.99</v>
      </c>
      <c r="Q130" s="11">
        <f t="shared" ref="Q130:Q160" si="12">M130/L130*100</f>
        <v>0.98750000000000004</v>
      </c>
    </row>
    <row r="131" spans="1:17" x14ac:dyDescent="0.25">
      <c r="A131" s="9">
        <v>43304</v>
      </c>
      <c r="B131" s="5">
        <v>623</v>
      </c>
      <c r="C131" s="12">
        <v>161.1</v>
      </c>
      <c r="D131" s="11">
        <v>25.86</v>
      </c>
      <c r="E131" s="11">
        <f t="shared" si="10"/>
        <v>25.858747993579449</v>
      </c>
      <c r="F131" s="11">
        <v>25.86</v>
      </c>
      <c r="G131" s="11">
        <f t="shared" ref="G131:G194" si="13">C131/B131*100</f>
        <v>25.858747993579449</v>
      </c>
      <c r="K131" s="9">
        <v>42677</v>
      </c>
      <c r="L131" s="5">
        <v>1758</v>
      </c>
      <c r="M131" s="12">
        <v>19</v>
      </c>
      <c r="N131" s="11">
        <v>1.08</v>
      </c>
      <c r="O131" s="11">
        <f t="shared" si="11"/>
        <v>1.0807736063708762</v>
      </c>
      <c r="P131" s="11">
        <v>1.08</v>
      </c>
      <c r="Q131" s="11">
        <f t="shared" si="12"/>
        <v>1.0807736063708762</v>
      </c>
    </row>
    <row r="132" spans="1:17" x14ac:dyDescent="0.25">
      <c r="A132" s="9">
        <v>43300</v>
      </c>
      <c r="B132" s="5">
        <v>559</v>
      </c>
      <c r="C132" s="12">
        <v>140.52000000000001</v>
      </c>
      <c r="D132" s="11">
        <v>25.14</v>
      </c>
      <c r="E132" s="11">
        <f t="shared" si="10"/>
        <v>25.137745974955276</v>
      </c>
      <c r="F132" s="11">
        <v>25.14</v>
      </c>
      <c r="G132" s="11">
        <f t="shared" si="13"/>
        <v>25.137745974955276</v>
      </c>
      <c r="K132" s="9">
        <v>42664</v>
      </c>
      <c r="L132" s="5">
        <v>3318</v>
      </c>
      <c r="M132" s="12">
        <v>8.1199999999999992</v>
      </c>
      <c r="N132" s="11">
        <v>0.24</v>
      </c>
      <c r="O132" s="11">
        <f t="shared" si="11"/>
        <v>0.24472573839662445</v>
      </c>
      <c r="P132" s="11"/>
      <c r="Q132" s="11"/>
    </row>
    <row r="133" spans="1:17" x14ac:dyDescent="0.25">
      <c r="A133" s="9">
        <v>43297</v>
      </c>
      <c r="B133" s="5">
        <v>610</v>
      </c>
      <c r="C133" s="12">
        <v>157.65</v>
      </c>
      <c r="D133" s="11">
        <v>25.84</v>
      </c>
      <c r="E133" s="11">
        <f t="shared" si="10"/>
        <v>25.844262295081965</v>
      </c>
      <c r="F133" s="11">
        <v>25.84</v>
      </c>
      <c r="G133" s="11">
        <f t="shared" si="13"/>
        <v>25.844262295081965</v>
      </c>
      <c r="K133" s="9">
        <v>42629</v>
      </c>
      <c r="L133" s="5">
        <v>1304</v>
      </c>
      <c r="M133" s="12">
        <v>15.2</v>
      </c>
      <c r="N133" s="11">
        <v>1.17</v>
      </c>
      <c r="O133" s="11">
        <f t="shared" si="11"/>
        <v>1.165644171779141</v>
      </c>
      <c r="P133" s="11">
        <v>1.17</v>
      </c>
      <c r="Q133" s="11">
        <f t="shared" si="12"/>
        <v>1.165644171779141</v>
      </c>
    </row>
    <row r="134" spans="1:17" x14ac:dyDescent="0.25">
      <c r="A134" s="9">
        <v>43293</v>
      </c>
      <c r="B134" s="5">
        <v>579</v>
      </c>
      <c r="C134" s="12">
        <v>157.84</v>
      </c>
      <c r="D134" s="11">
        <v>27.26</v>
      </c>
      <c r="E134" s="11">
        <f t="shared" si="10"/>
        <v>27.260794473229705</v>
      </c>
      <c r="F134" s="11">
        <v>27.26</v>
      </c>
      <c r="G134" s="11">
        <f t="shared" si="13"/>
        <v>27.260794473229705</v>
      </c>
      <c r="K134" s="9">
        <v>42621</v>
      </c>
      <c r="L134" s="5">
        <v>1113</v>
      </c>
      <c r="M134" s="12">
        <v>12</v>
      </c>
      <c r="N134" s="11">
        <v>1.08</v>
      </c>
      <c r="O134" s="11">
        <f t="shared" si="11"/>
        <v>1.0781671159029651</v>
      </c>
      <c r="P134" s="11">
        <v>1.08</v>
      </c>
      <c r="Q134" s="11">
        <f t="shared" si="12"/>
        <v>1.0781671159029651</v>
      </c>
    </row>
    <row r="135" spans="1:17" x14ac:dyDescent="0.25">
      <c r="A135" s="9">
        <v>43290</v>
      </c>
      <c r="B135" s="5">
        <v>616</v>
      </c>
      <c r="C135" s="12">
        <v>160.28</v>
      </c>
      <c r="D135" s="11">
        <v>26.02</v>
      </c>
      <c r="E135" s="11">
        <f t="shared" si="10"/>
        <v>26.019480519480521</v>
      </c>
      <c r="F135" s="11">
        <v>26.02</v>
      </c>
      <c r="G135" s="11">
        <f t="shared" si="13"/>
        <v>26.019480519480521</v>
      </c>
      <c r="K135" s="9">
        <v>42614</v>
      </c>
      <c r="L135" s="5">
        <v>681</v>
      </c>
      <c r="M135" s="12">
        <v>7.52</v>
      </c>
      <c r="N135" s="11">
        <v>1.1000000000000001</v>
      </c>
      <c r="O135" s="11">
        <f t="shared" si="11"/>
        <v>1.1042584434654918</v>
      </c>
      <c r="P135" s="11">
        <v>1.1000000000000001</v>
      </c>
      <c r="Q135" s="11">
        <f t="shared" si="12"/>
        <v>1.1042584434654918</v>
      </c>
    </row>
    <row r="136" spans="1:17" x14ac:dyDescent="0.25">
      <c r="A136" s="9">
        <v>43286</v>
      </c>
      <c r="B136" s="5">
        <v>590</v>
      </c>
      <c r="C136" s="12">
        <v>157.19</v>
      </c>
      <c r="D136" s="11">
        <v>26.64</v>
      </c>
      <c r="E136" s="11">
        <f t="shared" si="10"/>
        <v>26.642372881355929</v>
      </c>
      <c r="F136" s="11">
        <v>26.64</v>
      </c>
      <c r="G136" s="11">
        <f t="shared" si="13"/>
        <v>26.642372881355929</v>
      </c>
      <c r="K136" s="9">
        <v>42593</v>
      </c>
      <c r="L136" s="5">
        <v>2230</v>
      </c>
      <c r="M136" s="12">
        <v>24.63</v>
      </c>
      <c r="N136" s="11">
        <v>1.1000000000000001</v>
      </c>
      <c r="O136" s="11">
        <f t="shared" si="11"/>
        <v>1.1044843049327353</v>
      </c>
      <c r="P136" s="11">
        <v>1.1000000000000001</v>
      </c>
      <c r="Q136" s="11">
        <f t="shared" si="12"/>
        <v>1.1044843049327353</v>
      </c>
    </row>
    <row r="137" spans="1:17" x14ac:dyDescent="0.25">
      <c r="A137" s="9">
        <v>43283</v>
      </c>
      <c r="B137" s="5">
        <v>616</v>
      </c>
      <c r="C137" s="12">
        <v>155.18</v>
      </c>
      <c r="D137" s="11">
        <v>25.19</v>
      </c>
      <c r="E137" s="11">
        <f t="shared" si="10"/>
        <v>25.191558441558442</v>
      </c>
      <c r="F137" s="11">
        <v>25.19</v>
      </c>
      <c r="G137" s="11">
        <f t="shared" si="13"/>
        <v>25.191558441558442</v>
      </c>
      <c r="K137" s="9">
        <v>42579</v>
      </c>
      <c r="L137" s="5">
        <v>1101</v>
      </c>
      <c r="M137" s="12">
        <v>12.98</v>
      </c>
      <c r="N137" s="11">
        <v>1.18</v>
      </c>
      <c r="O137" s="11">
        <f t="shared" si="11"/>
        <v>1.1789282470481381</v>
      </c>
      <c r="P137" s="11">
        <v>1.18</v>
      </c>
      <c r="Q137" s="11">
        <f t="shared" si="12"/>
        <v>1.1789282470481381</v>
      </c>
    </row>
    <row r="138" spans="1:17" x14ac:dyDescent="0.25">
      <c r="A138" s="9">
        <v>43279</v>
      </c>
      <c r="B138" s="5">
        <v>35</v>
      </c>
      <c r="C138" s="12">
        <v>37.19</v>
      </c>
      <c r="D138" s="11">
        <v>106.26</v>
      </c>
      <c r="E138" s="11">
        <f t="shared" si="10"/>
        <v>106.25714285714285</v>
      </c>
      <c r="F138" s="11"/>
      <c r="G138" s="11"/>
      <c r="K138" s="9">
        <v>42572</v>
      </c>
      <c r="L138" s="5">
        <v>1094</v>
      </c>
      <c r="M138" s="12">
        <v>16.760000000000002</v>
      </c>
      <c r="N138" s="11">
        <v>1.53</v>
      </c>
      <c r="O138" s="11">
        <f t="shared" si="11"/>
        <v>1.5319926873857406</v>
      </c>
      <c r="P138" s="11">
        <v>1.53</v>
      </c>
      <c r="Q138" s="11">
        <f t="shared" si="12"/>
        <v>1.5319926873857406</v>
      </c>
    </row>
    <row r="139" spans="1:17" x14ac:dyDescent="0.25">
      <c r="A139" s="9">
        <v>43278</v>
      </c>
      <c r="B139" s="5">
        <v>722</v>
      </c>
      <c r="C139" s="12">
        <v>169</v>
      </c>
      <c r="D139" s="11">
        <v>23.41</v>
      </c>
      <c r="E139" s="11">
        <f t="shared" si="10"/>
        <v>23.407202216066484</v>
      </c>
      <c r="F139" s="11">
        <v>23.41</v>
      </c>
      <c r="G139" s="11">
        <f t="shared" si="13"/>
        <v>23.407202216066484</v>
      </c>
      <c r="K139" s="9">
        <v>42565</v>
      </c>
      <c r="L139" s="5">
        <v>2177</v>
      </c>
      <c r="M139" s="12">
        <v>25</v>
      </c>
      <c r="N139" s="11">
        <v>1.1499999999999999</v>
      </c>
      <c r="O139" s="11">
        <f t="shared" si="11"/>
        <v>1.1483693155718879</v>
      </c>
      <c r="P139" s="11">
        <v>1.1499999999999999</v>
      </c>
      <c r="Q139" s="11">
        <f t="shared" si="12"/>
        <v>1.1483693155718879</v>
      </c>
    </row>
    <row r="140" spans="1:17" x14ac:dyDescent="0.25">
      <c r="A140" s="9">
        <v>43272</v>
      </c>
      <c r="B140" s="5">
        <v>727</v>
      </c>
      <c r="C140" s="12">
        <v>203</v>
      </c>
      <c r="D140" s="11">
        <v>27.92</v>
      </c>
      <c r="E140" s="11">
        <f t="shared" si="10"/>
        <v>27.922971114167812</v>
      </c>
      <c r="F140" s="11">
        <v>27.92</v>
      </c>
      <c r="G140" s="11">
        <f t="shared" si="13"/>
        <v>27.922971114167812</v>
      </c>
      <c r="K140" s="9">
        <v>42551</v>
      </c>
      <c r="L140" s="5">
        <v>1100</v>
      </c>
      <c r="M140" s="12">
        <v>13.36</v>
      </c>
      <c r="N140" s="11">
        <v>1.21</v>
      </c>
      <c r="O140" s="11">
        <f t="shared" si="11"/>
        <v>1.2145454545454544</v>
      </c>
      <c r="P140" s="11">
        <v>1.21</v>
      </c>
      <c r="Q140" s="11">
        <f t="shared" si="12"/>
        <v>1.2145454545454544</v>
      </c>
    </row>
    <row r="141" spans="1:17" x14ac:dyDescent="0.25">
      <c r="A141" s="9">
        <v>43269</v>
      </c>
      <c r="B141" s="5">
        <v>344</v>
      </c>
      <c r="C141" s="12">
        <v>84.32</v>
      </c>
      <c r="D141" s="11">
        <v>24.51</v>
      </c>
      <c r="E141" s="11">
        <f t="shared" si="10"/>
        <v>24.511627906976745</v>
      </c>
      <c r="F141" s="11">
        <v>24.51</v>
      </c>
      <c r="G141" s="11">
        <f t="shared" si="13"/>
        <v>24.511627906976745</v>
      </c>
      <c r="K141" s="9">
        <v>42544</v>
      </c>
      <c r="L141" s="5">
        <v>1577</v>
      </c>
      <c r="M141" s="12">
        <v>19.41</v>
      </c>
      <c r="N141" s="11">
        <v>1.23</v>
      </c>
      <c r="O141" s="11">
        <f t="shared" si="11"/>
        <v>1.2308180088776157</v>
      </c>
      <c r="P141" s="11">
        <v>1.23</v>
      </c>
      <c r="Q141" s="11">
        <f t="shared" si="12"/>
        <v>1.2308180088776157</v>
      </c>
    </row>
    <row r="142" spans="1:17" x14ac:dyDescent="0.25">
      <c r="A142" s="9">
        <v>43265</v>
      </c>
      <c r="B142" s="5">
        <v>707</v>
      </c>
      <c r="C142" s="12">
        <v>175.87</v>
      </c>
      <c r="D142" s="11">
        <v>24.88</v>
      </c>
      <c r="E142" s="11">
        <f t="shared" si="10"/>
        <v>24.875530410183877</v>
      </c>
      <c r="F142" s="11">
        <v>24.88</v>
      </c>
      <c r="G142" s="11">
        <f t="shared" si="13"/>
        <v>24.875530410183877</v>
      </c>
      <c r="K142" s="9">
        <v>42534</v>
      </c>
      <c r="L142" s="5">
        <v>1641</v>
      </c>
      <c r="M142" s="12">
        <v>20</v>
      </c>
      <c r="N142" s="11">
        <v>1.22</v>
      </c>
      <c r="O142" s="11">
        <f t="shared" si="11"/>
        <v>1.218769043266301</v>
      </c>
      <c r="P142" s="11">
        <v>1.22</v>
      </c>
      <c r="Q142" s="11">
        <f t="shared" si="12"/>
        <v>1.218769043266301</v>
      </c>
    </row>
    <row r="143" spans="1:17" x14ac:dyDescent="0.25">
      <c r="A143" s="9">
        <v>43262</v>
      </c>
      <c r="B143" s="5">
        <v>622</v>
      </c>
      <c r="C143" s="12">
        <v>157</v>
      </c>
      <c r="D143" s="11">
        <v>25.24</v>
      </c>
      <c r="E143" s="11">
        <f t="shared" si="10"/>
        <v>25.241157556270092</v>
      </c>
      <c r="F143" s="11">
        <v>25.24</v>
      </c>
      <c r="G143" s="11">
        <f t="shared" si="13"/>
        <v>25.241157556270092</v>
      </c>
      <c r="K143" s="9">
        <v>42523</v>
      </c>
      <c r="L143" s="5">
        <v>910</v>
      </c>
      <c r="M143" s="12">
        <v>12.57</v>
      </c>
      <c r="N143" s="11">
        <v>1.38</v>
      </c>
      <c r="O143" s="11">
        <f t="shared" si="11"/>
        <v>1.3813186813186813</v>
      </c>
      <c r="P143" s="11">
        <v>1.38</v>
      </c>
      <c r="Q143" s="11">
        <f t="shared" si="12"/>
        <v>1.3813186813186813</v>
      </c>
    </row>
    <row r="144" spans="1:17" x14ac:dyDescent="0.25">
      <c r="A144" s="9">
        <v>43258</v>
      </c>
      <c r="B144" s="5">
        <v>595</v>
      </c>
      <c r="C144" s="12">
        <v>156.01</v>
      </c>
      <c r="D144" s="11">
        <v>26.22</v>
      </c>
      <c r="E144" s="11">
        <f t="shared" si="10"/>
        <v>26.22016806722689</v>
      </c>
      <c r="F144" s="11">
        <v>26.22</v>
      </c>
      <c r="G144" s="11">
        <f t="shared" si="13"/>
        <v>26.22016806722689</v>
      </c>
      <c r="K144" s="9">
        <v>42517</v>
      </c>
      <c r="L144" s="5">
        <v>1107</v>
      </c>
      <c r="M144" s="12">
        <v>10.8</v>
      </c>
      <c r="N144" s="11">
        <v>0.98</v>
      </c>
      <c r="O144" s="11">
        <f t="shared" si="11"/>
        <v>0.97560975609756095</v>
      </c>
      <c r="P144" s="11">
        <v>0.98</v>
      </c>
      <c r="Q144" s="11">
        <f t="shared" si="12"/>
        <v>0.97560975609756095</v>
      </c>
    </row>
    <row r="145" spans="1:17" x14ac:dyDescent="0.25">
      <c r="A145" s="9">
        <v>43255</v>
      </c>
      <c r="B145" s="5">
        <v>620</v>
      </c>
      <c r="C145" s="12">
        <v>171.38</v>
      </c>
      <c r="D145" s="11">
        <v>27.64</v>
      </c>
      <c r="E145" s="11">
        <f t="shared" si="10"/>
        <v>27.641935483870967</v>
      </c>
      <c r="F145" s="11">
        <v>27.64</v>
      </c>
      <c r="G145" s="11">
        <f t="shared" si="13"/>
        <v>27.641935483870967</v>
      </c>
      <c r="K145" s="9">
        <v>42509</v>
      </c>
      <c r="L145" s="5">
        <v>1965</v>
      </c>
      <c r="M145" s="12">
        <v>22.56</v>
      </c>
      <c r="N145" s="11">
        <v>1.1499999999999999</v>
      </c>
      <c r="O145" s="11">
        <f t="shared" si="11"/>
        <v>1.1480916030534349</v>
      </c>
      <c r="P145" s="11">
        <v>1.1499999999999999</v>
      </c>
      <c r="Q145" s="11">
        <f t="shared" si="12"/>
        <v>1.1480916030534349</v>
      </c>
    </row>
    <row r="146" spans="1:17" x14ac:dyDescent="0.25">
      <c r="A146" s="9">
        <v>43250</v>
      </c>
      <c r="B146" s="5">
        <v>366</v>
      </c>
      <c r="C146" s="12">
        <v>105</v>
      </c>
      <c r="D146" s="11">
        <v>28.69</v>
      </c>
      <c r="E146" s="11">
        <f t="shared" si="10"/>
        <v>28.688524590163933</v>
      </c>
      <c r="F146" s="11">
        <v>28.69</v>
      </c>
      <c r="G146" s="11">
        <f t="shared" si="13"/>
        <v>28.688524590163933</v>
      </c>
      <c r="K146" s="9">
        <v>42494</v>
      </c>
      <c r="L146" s="5">
        <v>638</v>
      </c>
      <c r="M146" s="12">
        <v>8.5399999999999991</v>
      </c>
      <c r="N146" s="11">
        <v>1.34</v>
      </c>
      <c r="O146" s="11">
        <f t="shared" si="11"/>
        <v>1.3385579937304075</v>
      </c>
      <c r="P146" s="11">
        <v>1.34</v>
      </c>
      <c r="Q146" s="11">
        <f t="shared" si="12"/>
        <v>1.3385579937304075</v>
      </c>
    </row>
    <row r="147" spans="1:17" x14ac:dyDescent="0.25">
      <c r="A147" s="9">
        <v>43248</v>
      </c>
      <c r="B147" s="5">
        <v>648</v>
      </c>
      <c r="C147" s="12">
        <v>159.1</v>
      </c>
      <c r="D147" s="11">
        <v>24.55</v>
      </c>
      <c r="E147" s="11">
        <f t="shared" si="10"/>
        <v>24.552469135802468</v>
      </c>
      <c r="F147" s="11">
        <v>24.55</v>
      </c>
      <c r="G147" s="11">
        <f t="shared" si="13"/>
        <v>24.552469135802468</v>
      </c>
      <c r="K147" s="9">
        <v>42488</v>
      </c>
      <c r="L147" s="5">
        <v>1107</v>
      </c>
      <c r="M147" s="12">
        <v>12.64</v>
      </c>
      <c r="N147" s="11">
        <v>1.1399999999999999</v>
      </c>
      <c r="O147" s="11">
        <f t="shared" si="11"/>
        <v>1.1418247515808493</v>
      </c>
      <c r="P147" s="11">
        <v>1.1399999999999999</v>
      </c>
      <c r="Q147" s="11">
        <f t="shared" si="12"/>
        <v>1.1418247515808493</v>
      </c>
    </row>
    <row r="148" spans="1:17" x14ac:dyDescent="0.25">
      <c r="A148" s="9">
        <v>43244</v>
      </c>
      <c r="B148" s="5">
        <v>336</v>
      </c>
      <c r="C148" s="12">
        <v>88.65</v>
      </c>
      <c r="D148" s="11">
        <v>26.38</v>
      </c>
      <c r="E148" s="11">
        <f t="shared" si="10"/>
        <v>26.383928571428573</v>
      </c>
      <c r="F148" s="11">
        <v>26.38</v>
      </c>
      <c r="G148" s="11">
        <f t="shared" si="13"/>
        <v>26.383928571428573</v>
      </c>
      <c r="K148" s="9">
        <v>42481</v>
      </c>
      <c r="L148" s="5">
        <v>1105</v>
      </c>
      <c r="M148" s="12">
        <v>12.25</v>
      </c>
      <c r="N148" s="11">
        <v>1.1100000000000001</v>
      </c>
      <c r="O148" s="11">
        <f t="shared" si="11"/>
        <v>1.1085972850678734</v>
      </c>
      <c r="P148" s="11">
        <v>1.1100000000000001</v>
      </c>
      <c r="Q148" s="11">
        <f t="shared" si="12"/>
        <v>1.1085972850678734</v>
      </c>
    </row>
    <row r="149" spans="1:17" x14ac:dyDescent="0.25">
      <c r="A149" s="9">
        <v>43242</v>
      </c>
      <c r="B149" s="5">
        <v>669</v>
      </c>
      <c r="C149" s="12">
        <v>164.86</v>
      </c>
      <c r="D149" s="11">
        <v>24.64</v>
      </c>
      <c r="E149" s="11">
        <f t="shared" si="10"/>
        <v>24.642750373692081</v>
      </c>
      <c r="F149" s="11">
        <v>24.64</v>
      </c>
      <c r="G149" s="11">
        <f t="shared" si="13"/>
        <v>24.642750373692081</v>
      </c>
      <c r="K149" s="9">
        <v>42474</v>
      </c>
      <c r="L149" s="5">
        <v>513</v>
      </c>
      <c r="M149" s="12">
        <v>14.64</v>
      </c>
      <c r="N149" s="11">
        <v>2.85</v>
      </c>
      <c r="O149" s="11">
        <f t="shared" si="11"/>
        <v>2.8538011695906436</v>
      </c>
      <c r="P149" s="11">
        <v>2.85</v>
      </c>
      <c r="Q149" s="11">
        <f t="shared" si="12"/>
        <v>2.8538011695906436</v>
      </c>
    </row>
    <row r="150" spans="1:17" x14ac:dyDescent="0.25">
      <c r="A150" s="9">
        <v>43237</v>
      </c>
      <c r="B150" s="5">
        <v>492</v>
      </c>
      <c r="C150" s="12">
        <v>135.59</v>
      </c>
      <c r="D150" s="11">
        <v>27.56</v>
      </c>
      <c r="E150" s="11">
        <f t="shared" si="10"/>
        <v>27.558943089430894</v>
      </c>
      <c r="F150" s="11">
        <v>27.56</v>
      </c>
      <c r="G150" s="11">
        <f t="shared" si="13"/>
        <v>27.558943089430894</v>
      </c>
      <c r="K150" s="9">
        <v>42471</v>
      </c>
      <c r="L150" s="5">
        <v>1655</v>
      </c>
      <c r="M150" s="12">
        <v>10</v>
      </c>
      <c r="N150" s="11">
        <v>0.6</v>
      </c>
      <c r="O150" s="11">
        <f t="shared" si="11"/>
        <v>0.60422960725075525</v>
      </c>
      <c r="P150" s="11">
        <v>0.6</v>
      </c>
      <c r="Q150" s="11">
        <f t="shared" si="12"/>
        <v>0.60422960725075525</v>
      </c>
    </row>
    <row r="151" spans="1:17" x14ac:dyDescent="0.25">
      <c r="A151" s="9">
        <v>43235</v>
      </c>
      <c r="B151" s="5">
        <v>464</v>
      </c>
      <c r="C151" s="12">
        <v>125.76</v>
      </c>
      <c r="D151" s="11">
        <v>27.1</v>
      </c>
      <c r="E151" s="11">
        <f t="shared" si="10"/>
        <v>27.103448275862068</v>
      </c>
      <c r="F151" s="11">
        <v>27.1</v>
      </c>
      <c r="G151" s="11">
        <f t="shared" si="13"/>
        <v>27.103448275862068</v>
      </c>
      <c r="K151" s="9">
        <v>42460</v>
      </c>
      <c r="L151" s="5">
        <v>1735</v>
      </c>
      <c r="M151" s="12">
        <v>18.77</v>
      </c>
      <c r="N151" s="11">
        <v>1.08</v>
      </c>
      <c r="O151" s="11">
        <f t="shared" si="11"/>
        <v>1.0818443804034583</v>
      </c>
      <c r="P151" s="11">
        <v>1.08</v>
      </c>
      <c r="Q151" s="11">
        <f t="shared" si="12"/>
        <v>1.0818443804034583</v>
      </c>
    </row>
    <row r="152" spans="1:17" x14ac:dyDescent="0.25">
      <c r="A152" s="9">
        <v>43231</v>
      </c>
      <c r="B152" s="5">
        <v>588</v>
      </c>
      <c r="C152" s="12">
        <v>147.56</v>
      </c>
      <c r="D152" s="11">
        <v>25.1</v>
      </c>
      <c r="E152" s="11">
        <f t="shared" si="10"/>
        <v>25.095238095238098</v>
      </c>
      <c r="F152" s="11">
        <v>25.1</v>
      </c>
      <c r="G152" s="11">
        <f t="shared" si="13"/>
        <v>25.095238095238098</v>
      </c>
      <c r="K152" s="9">
        <v>42446</v>
      </c>
      <c r="L152" s="5">
        <v>1090</v>
      </c>
      <c r="M152" s="12">
        <v>12.52</v>
      </c>
      <c r="N152" s="11">
        <v>1.1499999999999999</v>
      </c>
      <c r="O152" s="11">
        <f t="shared" si="11"/>
        <v>1.1486238532110091</v>
      </c>
      <c r="P152" s="11">
        <v>1.1499999999999999</v>
      </c>
      <c r="Q152" s="11">
        <f t="shared" si="12"/>
        <v>1.1486238532110091</v>
      </c>
    </row>
    <row r="153" spans="1:17" x14ac:dyDescent="0.25">
      <c r="A153" s="9">
        <v>43227</v>
      </c>
      <c r="B153" s="5">
        <v>611</v>
      </c>
      <c r="C153" s="12">
        <v>154.71</v>
      </c>
      <c r="D153" s="11">
        <v>25.32</v>
      </c>
      <c r="E153" s="11">
        <f t="shared" si="10"/>
        <v>25.320785597381345</v>
      </c>
      <c r="F153" s="11">
        <v>25.32</v>
      </c>
      <c r="G153" s="11">
        <f t="shared" si="13"/>
        <v>25.320785597381345</v>
      </c>
      <c r="K153" s="9">
        <v>42439</v>
      </c>
      <c r="L153" s="5">
        <v>865</v>
      </c>
      <c r="M153" s="12">
        <v>11.3</v>
      </c>
      <c r="N153" s="11">
        <v>1.31</v>
      </c>
      <c r="O153" s="11">
        <f t="shared" si="11"/>
        <v>1.3063583815028903</v>
      </c>
      <c r="P153" s="11">
        <v>1.31</v>
      </c>
      <c r="Q153" s="11">
        <f t="shared" si="12"/>
        <v>1.3063583815028903</v>
      </c>
    </row>
    <row r="154" spans="1:17" x14ac:dyDescent="0.25">
      <c r="A154" s="9">
        <v>43223</v>
      </c>
      <c r="B154" s="5">
        <v>359</v>
      </c>
      <c r="C154" s="12">
        <v>95.34</v>
      </c>
      <c r="D154" s="11">
        <v>26.56</v>
      </c>
      <c r="E154" s="11">
        <f t="shared" si="10"/>
        <v>26.557103064066855</v>
      </c>
      <c r="F154" s="11">
        <v>26.56</v>
      </c>
      <c r="G154" s="11">
        <f t="shared" si="13"/>
        <v>26.557103064066855</v>
      </c>
      <c r="K154" s="9">
        <v>42433</v>
      </c>
      <c r="L154" s="5">
        <v>510</v>
      </c>
      <c r="M154" s="12">
        <v>9.02</v>
      </c>
      <c r="N154" s="11">
        <v>1.77</v>
      </c>
      <c r="O154" s="11">
        <f t="shared" si="11"/>
        <v>1.7686274509803919</v>
      </c>
      <c r="P154" s="11">
        <v>1.77</v>
      </c>
      <c r="Q154" s="11">
        <f t="shared" si="12"/>
        <v>1.7686274509803919</v>
      </c>
    </row>
    <row r="155" spans="1:17" x14ac:dyDescent="0.25">
      <c r="A155" s="9">
        <v>43220</v>
      </c>
      <c r="B155" s="5">
        <v>618</v>
      </c>
      <c r="C155" s="12">
        <v>156.94999999999999</v>
      </c>
      <c r="D155" s="11">
        <v>25.4</v>
      </c>
      <c r="E155" s="11">
        <f t="shared" si="10"/>
        <v>25.396440129449836</v>
      </c>
      <c r="F155" s="11">
        <v>25.4</v>
      </c>
      <c r="G155" s="11">
        <f t="shared" si="13"/>
        <v>25.396440129449836</v>
      </c>
      <c r="K155" s="9">
        <v>42432</v>
      </c>
      <c r="L155" s="5">
        <v>2199</v>
      </c>
      <c r="M155" s="12">
        <v>24</v>
      </c>
      <c r="N155" s="11">
        <v>1.0900000000000001</v>
      </c>
      <c r="O155" s="11">
        <f t="shared" si="11"/>
        <v>1.0914051841746248</v>
      </c>
      <c r="P155" s="11">
        <v>1.0900000000000001</v>
      </c>
      <c r="Q155" s="11">
        <f t="shared" si="12"/>
        <v>1.0914051841746248</v>
      </c>
    </row>
    <row r="156" spans="1:17" x14ac:dyDescent="0.25">
      <c r="A156" s="9">
        <v>43216</v>
      </c>
      <c r="B156" s="5">
        <v>129</v>
      </c>
      <c r="C156" s="12">
        <v>42.39</v>
      </c>
      <c r="D156" s="11">
        <v>32.86</v>
      </c>
      <c r="E156" s="11">
        <f t="shared" si="10"/>
        <v>32.860465116279073</v>
      </c>
      <c r="F156" s="11">
        <v>32.86</v>
      </c>
      <c r="G156" s="11">
        <f t="shared" si="13"/>
        <v>32.860465116279073</v>
      </c>
      <c r="K156" s="9">
        <v>42418</v>
      </c>
      <c r="L156" s="5">
        <v>1223</v>
      </c>
      <c r="M156" s="12">
        <v>14.84</v>
      </c>
      <c r="N156" s="11">
        <v>1.21</v>
      </c>
      <c r="O156" s="11">
        <f t="shared" si="11"/>
        <v>1.2134096484055601</v>
      </c>
      <c r="P156" s="11">
        <v>1.21</v>
      </c>
      <c r="Q156" s="11">
        <f t="shared" si="12"/>
        <v>1.2134096484055601</v>
      </c>
    </row>
    <row r="157" spans="1:17" x14ac:dyDescent="0.25">
      <c r="A157" s="9">
        <v>43215</v>
      </c>
      <c r="B157" s="5">
        <v>643</v>
      </c>
      <c r="C157" s="12">
        <v>171.64</v>
      </c>
      <c r="D157" s="11">
        <v>26.69</v>
      </c>
      <c r="E157" s="11">
        <f t="shared" si="10"/>
        <v>26.693623639191287</v>
      </c>
      <c r="F157" s="11">
        <v>26.69</v>
      </c>
      <c r="G157" s="11">
        <f t="shared" si="13"/>
        <v>26.693623639191287</v>
      </c>
      <c r="K157" s="9">
        <v>42410</v>
      </c>
      <c r="L157" s="5">
        <v>2229</v>
      </c>
      <c r="M157" s="12">
        <v>25</v>
      </c>
      <c r="N157" s="11">
        <v>1.1200000000000001</v>
      </c>
      <c r="O157" s="11">
        <f t="shared" si="11"/>
        <v>1.1215791834903546</v>
      </c>
      <c r="P157" s="11">
        <v>1.1200000000000001</v>
      </c>
      <c r="Q157" s="11">
        <f t="shared" si="12"/>
        <v>1.1215791834903546</v>
      </c>
    </row>
    <row r="158" spans="1:17" x14ac:dyDescent="0.25">
      <c r="A158" s="9">
        <v>43213</v>
      </c>
      <c r="B158" s="5">
        <v>174</v>
      </c>
      <c r="C158" s="12">
        <v>41.98</v>
      </c>
      <c r="D158" s="11">
        <v>24.13</v>
      </c>
      <c r="E158" s="11">
        <f t="shared" si="10"/>
        <v>24.126436781609193</v>
      </c>
      <c r="F158" s="11">
        <v>24.13</v>
      </c>
      <c r="G158" s="11">
        <f t="shared" si="13"/>
        <v>24.126436781609193</v>
      </c>
      <c r="K158" s="9">
        <v>42397</v>
      </c>
      <c r="L158" s="5">
        <v>1178</v>
      </c>
      <c r="M158" s="12">
        <v>14</v>
      </c>
      <c r="N158" s="11">
        <v>1.19</v>
      </c>
      <c r="O158" s="11">
        <f t="shared" si="11"/>
        <v>1.1884550084889642</v>
      </c>
      <c r="P158" s="11">
        <v>1.19</v>
      </c>
      <c r="Q158" s="11">
        <f t="shared" si="12"/>
        <v>1.1884550084889642</v>
      </c>
    </row>
    <row r="159" spans="1:17" x14ac:dyDescent="0.25">
      <c r="A159" s="9">
        <v>43209</v>
      </c>
      <c r="B159" s="5">
        <v>561</v>
      </c>
      <c r="C159" s="12">
        <v>161.68</v>
      </c>
      <c r="D159" s="11">
        <v>28.82</v>
      </c>
      <c r="E159" s="11">
        <f t="shared" si="10"/>
        <v>28.819964349376114</v>
      </c>
      <c r="F159" s="11">
        <v>28.82</v>
      </c>
      <c r="G159" s="11">
        <f t="shared" si="13"/>
        <v>28.819964349376114</v>
      </c>
      <c r="K159" s="9">
        <v>42390</v>
      </c>
      <c r="L159" s="5">
        <v>2128</v>
      </c>
      <c r="M159" s="12">
        <v>23.02</v>
      </c>
      <c r="N159" s="11">
        <v>1.08</v>
      </c>
      <c r="O159" s="11">
        <f t="shared" si="11"/>
        <v>1.0817669172932329</v>
      </c>
      <c r="P159" s="11">
        <v>1.08</v>
      </c>
      <c r="Q159" s="11">
        <f t="shared" si="12"/>
        <v>1.0817669172932329</v>
      </c>
    </row>
    <row r="160" spans="1:17" x14ac:dyDescent="0.25">
      <c r="A160" s="9">
        <v>43206</v>
      </c>
      <c r="B160" s="5">
        <v>611</v>
      </c>
      <c r="C160" s="12">
        <v>158.74</v>
      </c>
      <c r="D160" s="11">
        <v>25.98</v>
      </c>
      <c r="E160" s="11">
        <f t="shared" si="10"/>
        <v>25.980360065466453</v>
      </c>
      <c r="F160" s="11">
        <v>25.98</v>
      </c>
      <c r="G160" s="11">
        <f t="shared" si="13"/>
        <v>25.980360065466453</v>
      </c>
      <c r="K160" s="9">
        <v>42377</v>
      </c>
      <c r="L160" s="5">
        <v>1563</v>
      </c>
      <c r="M160" s="12">
        <v>17.010000000000002</v>
      </c>
      <c r="N160" s="11">
        <v>1.0900000000000001</v>
      </c>
      <c r="O160" s="11">
        <f t="shared" si="11"/>
        <v>1.0882917466410749</v>
      </c>
      <c r="P160" s="11">
        <v>1.0900000000000001</v>
      </c>
      <c r="Q160" s="11">
        <f t="shared" si="12"/>
        <v>1.0882917466410749</v>
      </c>
    </row>
    <row r="161" spans="1:17" x14ac:dyDescent="0.25">
      <c r="A161" s="9">
        <v>43202</v>
      </c>
      <c r="B161" s="5">
        <v>550</v>
      </c>
      <c r="C161" s="12">
        <v>149.16999999999999</v>
      </c>
      <c r="D161" s="11">
        <v>27.12</v>
      </c>
      <c r="E161" s="11">
        <f t="shared" si="10"/>
        <v>27.121818181818181</v>
      </c>
      <c r="F161" s="11">
        <v>27.12</v>
      </c>
      <c r="G161" s="11">
        <f t="shared" si="13"/>
        <v>27.121818181818181</v>
      </c>
      <c r="K161" s="9">
        <v>42361</v>
      </c>
      <c r="L161" s="5">
        <v>1701</v>
      </c>
      <c r="M161" s="12">
        <v>25</v>
      </c>
      <c r="N161" s="11">
        <v>2</v>
      </c>
      <c r="O161" s="11">
        <f t="shared" si="11"/>
        <v>1.4697236919459142</v>
      </c>
      <c r="P161" s="11">
        <v>2</v>
      </c>
      <c r="Q161" s="11">
        <f>M161/L161*100</f>
        <v>1.4697236919459142</v>
      </c>
    </row>
    <row r="162" spans="1:17" x14ac:dyDescent="0.25">
      <c r="A162" s="9">
        <v>43199</v>
      </c>
      <c r="B162" s="5">
        <v>606</v>
      </c>
      <c r="C162" s="12">
        <v>149.04</v>
      </c>
      <c r="D162" s="11">
        <v>24.59</v>
      </c>
      <c r="E162" s="11">
        <f t="shared" si="10"/>
        <v>24.594059405940595</v>
      </c>
      <c r="F162" s="11">
        <v>24.59</v>
      </c>
      <c r="G162" s="11">
        <f t="shared" si="13"/>
        <v>24.594059405940595</v>
      </c>
    </row>
    <row r="163" spans="1:17" x14ac:dyDescent="0.25">
      <c r="A163" s="9">
        <v>43195</v>
      </c>
      <c r="B163" s="5">
        <v>334</v>
      </c>
      <c r="C163" s="12">
        <v>104.01</v>
      </c>
      <c r="D163" s="11">
        <v>31.14</v>
      </c>
      <c r="E163" s="11">
        <f t="shared" si="10"/>
        <v>31.140718562874252</v>
      </c>
      <c r="F163" s="11">
        <v>31.14</v>
      </c>
      <c r="G163" s="11">
        <f t="shared" si="13"/>
        <v>31.140718562874252</v>
      </c>
      <c r="K163" s="18" t="s">
        <v>28</v>
      </c>
      <c r="L163" s="18"/>
      <c r="N163" s="18" t="s">
        <v>20</v>
      </c>
      <c r="O163" s="18"/>
      <c r="P163" s="18"/>
      <c r="Q163" s="18"/>
    </row>
    <row r="164" spans="1:17" x14ac:dyDescent="0.25">
      <c r="A164" s="9">
        <v>43192</v>
      </c>
      <c r="B164" s="5">
        <v>423</v>
      </c>
      <c r="C164" s="12">
        <v>99</v>
      </c>
      <c r="D164" s="11">
        <v>23.4</v>
      </c>
      <c r="E164" s="11">
        <f t="shared" si="10"/>
        <v>23.404255319148938</v>
      </c>
      <c r="F164" s="11">
        <v>23.4</v>
      </c>
      <c r="G164" s="11">
        <f t="shared" si="13"/>
        <v>23.404255319148938</v>
      </c>
      <c r="K164" s="21">
        <f>SUM(L2:L161)</f>
        <v>217898</v>
      </c>
      <c r="L164" s="21"/>
      <c r="N164" s="11">
        <f>AVERAGE(N2:N161)</f>
        <v>1.2903125000000006</v>
      </c>
      <c r="O164" s="11">
        <f>AVERAGE(O2:O161)</f>
        <v>1.2874674133160102</v>
      </c>
      <c r="P164" s="11">
        <f>AVERAGE(P2:P161)</f>
        <v>1.2455063291139243</v>
      </c>
      <c r="Q164" s="11">
        <f>AVERAGE(Q2:Q161)</f>
        <v>1.2426164159841666</v>
      </c>
    </row>
    <row r="165" spans="1:17" x14ac:dyDescent="0.25">
      <c r="A165" s="9">
        <v>43191</v>
      </c>
      <c r="B165" s="5">
        <v>412</v>
      </c>
      <c r="C165" s="12">
        <v>101</v>
      </c>
      <c r="D165" s="11">
        <v>24.51</v>
      </c>
      <c r="E165" s="11">
        <f t="shared" si="10"/>
        <v>24.514563106796118</v>
      </c>
      <c r="F165" s="11">
        <v>24.51</v>
      </c>
      <c r="G165" s="11">
        <f t="shared" si="13"/>
        <v>24.514563106796118</v>
      </c>
      <c r="K165" s="18" t="s">
        <v>27</v>
      </c>
      <c r="L165" s="18"/>
      <c r="N165" s="18" t="s">
        <v>21</v>
      </c>
      <c r="O165" s="18"/>
      <c r="P165" s="18"/>
      <c r="Q165" s="18"/>
    </row>
    <row r="166" spans="1:17" x14ac:dyDescent="0.25">
      <c r="A166" s="9">
        <v>43189</v>
      </c>
      <c r="B166" s="5">
        <v>427</v>
      </c>
      <c r="C166" s="12">
        <v>105</v>
      </c>
      <c r="D166" s="11">
        <v>24.59</v>
      </c>
      <c r="E166" s="11">
        <f t="shared" si="10"/>
        <v>24.590163934426229</v>
      </c>
      <c r="F166" s="11">
        <v>24.59</v>
      </c>
      <c r="G166" s="11">
        <f t="shared" si="13"/>
        <v>24.590163934426229</v>
      </c>
      <c r="K166" s="21">
        <f>SUM(L133:L161)+SUM(L14:L131)+SUM(L2:L12)</f>
        <v>214556</v>
      </c>
      <c r="L166" s="21"/>
      <c r="N166" s="11">
        <f>MEDIAN(N2:N161)</f>
        <v>1.22</v>
      </c>
      <c r="O166" s="11">
        <f>MEDIAN(O2:O161)</f>
        <v>1.2203845216331506</v>
      </c>
      <c r="P166" s="11">
        <f>MEDIAN(P2:P161)</f>
        <v>1.22</v>
      </c>
      <c r="Q166" s="11">
        <f>MEDIAN(Q2:Q161)</f>
        <v>1.2203845216331506</v>
      </c>
    </row>
    <row r="167" spans="1:17" x14ac:dyDescent="0.25">
      <c r="A167" s="9">
        <v>43188</v>
      </c>
      <c r="B167" s="5">
        <v>211</v>
      </c>
      <c r="C167" s="12">
        <v>54</v>
      </c>
      <c r="D167" s="11">
        <v>25.59</v>
      </c>
      <c r="E167" s="11">
        <f t="shared" si="10"/>
        <v>25.592417061611371</v>
      </c>
      <c r="F167" s="11">
        <v>25.59</v>
      </c>
      <c r="G167" s="11">
        <f t="shared" si="13"/>
        <v>25.592417061611371</v>
      </c>
      <c r="N167" s="18" t="s">
        <v>26</v>
      </c>
      <c r="O167" s="18"/>
      <c r="P167" s="18"/>
      <c r="Q167" s="18"/>
    </row>
    <row r="168" spans="1:17" x14ac:dyDescent="0.25">
      <c r="A168" s="9">
        <v>43188</v>
      </c>
      <c r="B168" s="5">
        <v>664</v>
      </c>
      <c r="C168" s="12">
        <v>191</v>
      </c>
      <c r="D168" s="11">
        <v>28.77</v>
      </c>
      <c r="E168" s="11">
        <f t="shared" si="10"/>
        <v>28.765060240963859</v>
      </c>
      <c r="F168" s="11">
        <v>28.77</v>
      </c>
      <c r="G168" s="11">
        <f t="shared" si="13"/>
        <v>28.765060240963859</v>
      </c>
      <c r="N168" s="11">
        <f>MIN(N2:N161)</f>
        <v>0.24</v>
      </c>
      <c r="O168" s="11">
        <f>MIN(O2:O161)</f>
        <v>0.24472573839662445</v>
      </c>
      <c r="P168" s="11">
        <f>MIN(P2:P161)</f>
        <v>0.6</v>
      </c>
      <c r="Q168" s="11">
        <f>MIN(Q2:Q161)</f>
        <v>0.60422960725075525</v>
      </c>
    </row>
    <row r="169" spans="1:17" x14ac:dyDescent="0.25">
      <c r="A169" s="9">
        <v>43185</v>
      </c>
      <c r="B169" s="5">
        <v>485</v>
      </c>
      <c r="C169" s="12">
        <v>135.02000000000001</v>
      </c>
      <c r="D169" s="11">
        <v>27.84</v>
      </c>
      <c r="E169" s="11">
        <f t="shared" si="10"/>
        <v>27.839175257731963</v>
      </c>
      <c r="F169" s="11">
        <v>27.84</v>
      </c>
      <c r="G169" s="11">
        <f t="shared" si="13"/>
        <v>27.839175257731963</v>
      </c>
      <c r="N169" s="18" t="s">
        <v>30</v>
      </c>
      <c r="O169" s="18"/>
      <c r="P169" s="18"/>
      <c r="Q169" s="18"/>
    </row>
    <row r="170" spans="1:17" x14ac:dyDescent="0.25">
      <c r="A170" s="9">
        <v>43181</v>
      </c>
      <c r="B170" s="5">
        <v>630</v>
      </c>
      <c r="C170" s="12">
        <v>199.5</v>
      </c>
      <c r="D170" s="11">
        <v>31.67</v>
      </c>
      <c r="E170" s="11">
        <f t="shared" si="10"/>
        <v>31.666666666666664</v>
      </c>
      <c r="F170" s="11">
        <v>31.67</v>
      </c>
      <c r="G170" s="11">
        <f t="shared" si="13"/>
        <v>31.666666666666664</v>
      </c>
      <c r="N170" s="11">
        <f>MAX(N2:N161)</f>
        <v>9.42</v>
      </c>
      <c r="O170" s="11">
        <f>MAX(O2:O161)</f>
        <v>9.4166666666666661</v>
      </c>
      <c r="P170" s="11">
        <f>MAX(P2:P161)</f>
        <v>2.85</v>
      </c>
      <c r="Q170" s="11">
        <f>MAX(Q2:Q161)</f>
        <v>2.8538011695906436</v>
      </c>
    </row>
    <row r="171" spans="1:17" x14ac:dyDescent="0.25">
      <c r="A171" s="9">
        <v>43178</v>
      </c>
      <c r="B171" s="5">
        <v>626</v>
      </c>
      <c r="C171" s="12">
        <v>175.06</v>
      </c>
      <c r="D171" s="11">
        <v>27.96</v>
      </c>
      <c r="E171" s="11">
        <f t="shared" si="10"/>
        <v>27.964856230031948</v>
      </c>
      <c r="F171" s="11">
        <v>27.96</v>
      </c>
      <c r="G171" s="11">
        <f t="shared" si="13"/>
        <v>27.964856230031948</v>
      </c>
    </row>
    <row r="172" spans="1:17" x14ac:dyDescent="0.25">
      <c r="A172" s="9">
        <v>43174</v>
      </c>
      <c r="B172" s="5">
        <v>561</v>
      </c>
      <c r="C172" s="12">
        <v>157.12</v>
      </c>
      <c r="D172" s="11">
        <v>28.01</v>
      </c>
      <c r="E172" s="11">
        <f t="shared" si="10"/>
        <v>28.007130124777184</v>
      </c>
      <c r="F172" s="11">
        <v>28.01</v>
      </c>
      <c r="G172" s="11">
        <f t="shared" si="13"/>
        <v>28.007130124777184</v>
      </c>
    </row>
    <row r="173" spans="1:17" x14ac:dyDescent="0.25">
      <c r="A173" s="9">
        <v>43171</v>
      </c>
      <c r="B173" s="5">
        <v>613</v>
      </c>
      <c r="C173" s="12">
        <v>153.6</v>
      </c>
      <c r="D173" s="11">
        <v>25.06</v>
      </c>
      <c r="E173" s="11">
        <f t="shared" si="10"/>
        <v>25.057096247960846</v>
      </c>
      <c r="F173" s="11">
        <v>25.06</v>
      </c>
      <c r="G173" s="11">
        <f t="shared" si="13"/>
        <v>25.057096247960846</v>
      </c>
    </row>
    <row r="174" spans="1:17" x14ac:dyDescent="0.25">
      <c r="A174" s="9">
        <v>43167</v>
      </c>
      <c r="B174" s="5">
        <v>561</v>
      </c>
      <c r="C174" s="12">
        <v>158.74</v>
      </c>
      <c r="D174" s="11">
        <v>28.3</v>
      </c>
      <c r="E174" s="11">
        <f t="shared" si="10"/>
        <v>28.29590017825312</v>
      </c>
      <c r="F174" s="11">
        <v>28.3</v>
      </c>
      <c r="G174" s="11">
        <f t="shared" si="13"/>
        <v>28.29590017825312</v>
      </c>
    </row>
    <row r="175" spans="1:17" x14ac:dyDescent="0.25">
      <c r="A175" s="9">
        <v>43164</v>
      </c>
      <c r="B175" s="5">
        <v>621</v>
      </c>
      <c r="C175" s="12">
        <v>174.7</v>
      </c>
      <c r="D175" s="11">
        <v>28.13</v>
      </c>
      <c r="E175" s="11">
        <f t="shared" si="10"/>
        <v>28.132045088566827</v>
      </c>
      <c r="F175" s="11">
        <v>28.13</v>
      </c>
      <c r="G175" s="11">
        <f t="shared" si="13"/>
        <v>28.132045088566827</v>
      </c>
    </row>
    <row r="176" spans="1:17" x14ac:dyDescent="0.25">
      <c r="A176" s="9">
        <v>43160</v>
      </c>
      <c r="B176" s="5">
        <v>608</v>
      </c>
      <c r="C176" s="12">
        <v>213.37</v>
      </c>
      <c r="D176" s="11">
        <v>35.090000000000003</v>
      </c>
      <c r="E176" s="11">
        <f t="shared" si="10"/>
        <v>35.09375</v>
      </c>
      <c r="F176" s="11">
        <v>35.090000000000003</v>
      </c>
      <c r="G176" s="11">
        <f t="shared" si="13"/>
        <v>35.09375</v>
      </c>
    </row>
    <row r="177" spans="1:7" x14ac:dyDescent="0.25">
      <c r="A177" s="9">
        <v>43157</v>
      </c>
      <c r="B177" s="5">
        <v>606</v>
      </c>
      <c r="C177" s="12">
        <v>196.41</v>
      </c>
      <c r="D177" s="11">
        <v>32.409999999999997</v>
      </c>
      <c r="E177" s="11">
        <f t="shared" si="10"/>
        <v>32.410891089108915</v>
      </c>
      <c r="F177" s="11">
        <v>32.409999999999997</v>
      </c>
      <c r="G177" s="11">
        <f t="shared" si="13"/>
        <v>32.410891089108915</v>
      </c>
    </row>
    <row r="178" spans="1:7" x14ac:dyDescent="0.25">
      <c r="A178" s="9">
        <v>43153</v>
      </c>
      <c r="B178" s="5">
        <v>572</v>
      </c>
      <c r="C178" s="12">
        <v>165.82</v>
      </c>
      <c r="D178" s="11">
        <v>28.99</v>
      </c>
      <c r="E178" s="11">
        <f t="shared" si="10"/>
        <v>28.98951048951049</v>
      </c>
      <c r="F178" s="11">
        <v>28.99</v>
      </c>
      <c r="G178" s="11">
        <f t="shared" si="13"/>
        <v>28.98951048951049</v>
      </c>
    </row>
    <row r="179" spans="1:7" x14ac:dyDescent="0.25">
      <c r="A179" s="9">
        <v>43150</v>
      </c>
      <c r="B179" s="5">
        <v>630</v>
      </c>
      <c r="C179" s="12">
        <v>189.92</v>
      </c>
      <c r="D179" s="11">
        <v>30.15</v>
      </c>
      <c r="E179" s="11">
        <f t="shared" si="10"/>
        <v>30.146031746031742</v>
      </c>
      <c r="F179" s="11">
        <v>30.15</v>
      </c>
      <c r="G179" s="11">
        <f t="shared" si="13"/>
        <v>30.146031746031742</v>
      </c>
    </row>
    <row r="180" spans="1:7" x14ac:dyDescent="0.25">
      <c r="A180" s="9">
        <v>43146</v>
      </c>
      <c r="B180" s="5">
        <v>585</v>
      </c>
      <c r="C180" s="12">
        <v>180.55</v>
      </c>
      <c r="D180" s="11">
        <v>30.86</v>
      </c>
      <c r="E180" s="11">
        <f t="shared" si="10"/>
        <v>30.863247863247867</v>
      </c>
      <c r="F180" s="11">
        <v>30.86</v>
      </c>
      <c r="G180" s="11">
        <f t="shared" si="13"/>
        <v>30.863247863247867</v>
      </c>
    </row>
    <row r="181" spans="1:7" x14ac:dyDescent="0.25">
      <c r="A181" s="9">
        <v>43143</v>
      </c>
      <c r="B181" s="5">
        <v>624</v>
      </c>
      <c r="C181" s="12">
        <v>175.37</v>
      </c>
      <c r="D181" s="11">
        <v>28.1</v>
      </c>
      <c r="E181" s="11">
        <f t="shared" si="10"/>
        <v>28.104166666666668</v>
      </c>
      <c r="F181" s="11">
        <v>28.1</v>
      </c>
      <c r="G181" s="11">
        <f t="shared" si="13"/>
        <v>28.104166666666668</v>
      </c>
    </row>
    <row r="182" spans="1:7" x14ac:dyDescent="0.25">
      <c r="A182" s="9">
        <v>43139</v>
      </c>
      <c r="B182" s="5">
        <v>578</v>
      </c>
      <c r="C182" s="12">
        <v>173.82</v>
      </c>
      <c r="D182" s="11">
        <v>30.07</v>
      </c>
      <c r="E182" s="11">
        <f t="shared" si="10"/>
        <v>30.072664359861591</v>
      </c>
      <c r="F182" s="11">
        <v>30.07</v>
      </c>
      <c r="G182" s="11">
        <f t="shared" si="13"/>
        <v>30.072664359861591</v>
      </c>
    </row>
    <row r="183" spans="1:7" x14ac:dyDescent="0.25">
      <c r="A183" s="9">
        <v>43136</v>
      </c>
      <c r="B183" s="5">
        <v>605</v>
      </c>
      <c r="C183" s="12">
        <v>173.67</v>
      </c>
      <c r="D183" s="11">
        <v>28.71</v>
      </c>
      <c r="E183" s="11">
        <f t="shared" si="10"/>
        <v>28.705785123966944</v>
      </c>
      <c r="F183" s="11">
        <v>28.71</v>
      </c>
      <c r="G183" s="11">
        <f t="shared" si="13"/>
        <v>28.705785123966944</v>
      </c>
    </row>
    <row r="184" spans="1:7" x14ac:dyDescent="0.25">
      <c r="A184" s="9">
        <v>43132</v>
      </c>
      <c r="B184" s="5">
        <v>565</v>
      </c>
      <c r="C184" s="12">
        <v>157.72999999999999</v>
      </c>
      <c r="D184" s="11">
        <v>27.92</v>
      </c>
      <c r="E184" s="11">
        <f t="shared" si="10"/>
        <v>27.916814159292038</v>
      </c>
      <c r="F184" s="11">
        <v>27.92</v>
      </c>
      <c r="G184" s="11">
        <f t="shared" si="13"/>
        <v>27.916814159292038</v>
      </c>
    </row>
    <row r="185" spans="1:7" x14ac:dyDescent="0.25">
      <c r="A185" s="9">
        <v>43129</v>
      </c>
      <c r="B185" s="5">
        <v>624</v>
      </c>
      <c r="C185" s="12">
        <v>164.47</v>
      </c>
      <c r="D185" s="11">
        <v>26.36</v>
      </c>
      <c r="E185" s="11">
        <f t="shared" si="10"/>
        <v>26.357371794871792</v>
      </c>
      <c r="F185" s="11">
        <v>26.36</v>
      </c>
      <c r="G185" s="11">
        <f t="shared" si="13"/>
        <v>26.357371794871792</v>
      </c>
    </row>
    <row r="186" spans="1:7" x14ac:dyDescent="0.25">
      <c r="A186" s="9">
        <v>43125</v>
      </c>
      <c r="B186" s="5">
        <v>565</v>
      </c>
      <c r="C186" s="12">
        <v>164.32</v>
      </c>
      <c r="D186" s="11">
        <v>29.08</v>
      </c>
      <c r="E186" s="11">
        <f t="shared" si="10"/>
        <v>29.083185840707966</v>
      </c>
      <c r="F186" s="11">
        <v>29.08</v>
      </c>
      <c r="G186" s="11">
        <f t="shared" si="13"/>
        <v>29.083185840707966</v>
      </c>
    </row>
    <row r="187" spans="1:7" x14ac:dyDescent="0.25">
      <c r="A187" s="9">
        <v>43122</v>
      </c>
      <c r="B187" s="5">
        <v>621</v>
      </c>
      <c r="C187" s="12">
        <v>176.65</v>
      </c>
      <c r="D187" s="11">
        <v>28.45</v>
      </c>
      <c r="E187" s="11">
        <f t="shared" si="10"/>
        <v>28.446054750402578</v>
      </c>
      <c r="F187" s="11">
        <v>28.45</v>
      </c>
      <c r="G187" s="11">
        <f t="shared" si="13"/>
        <v>28.446054750402578</v>
      </c>
    </row>
    <row r="188" spans="1:7" x14ac:dyDescent="0.25">
      <c r="A188" s="9">
        <v>43118</v>
      </c>
      <c r="B188" s="5">
        <v>559</v>
      </c>
      <c r="C188" s="12">
        <v>174.07</v>
      </c>
      <c r="D188" s="11">
        <v>31.14</v>
      </c>
      <c r="E188" s="11">
        <f t="shared" si="10"/>
        <v>31.139534883720927</v>
      </c>
      <c r="F188" s="11">
        <v>31.14</v>
      </c>
      <c r="G188" s="11">
        <f t="shared" si="13"/>
        <v>31.139534883720927</v>
      </c>
    </row>
    <row r="189" spans="1:7" x14ac:dyDescent="0.25">
      <c r="A189" s="9">
        <v>43115</v>
      </c>
      <c r="B189" s="5">
        <v>462</v>
      </c>
      <c r="C189" s="12">
        <v>129.05000000000001</v>
      </c>
      <c r="D189" s="11">
        <v>27.93</v>
      </c>
      <c r="E189" s="11">
        <f t="shared" si="10"/>
        <v>27.932900432900436</v>
      </c>
      <c r="F189" s="11">
        <v>27.93</v>
      </c>
      <c r="G189" s="11">
        <f t="shared" si="13"/>
        <v>27.932900432900436</v>
      </c>
    </row>
    <row r="190" spans="1:7" x14ac:dyDescent="0.25">
      <c r="A190" s="9">
        <v>43111</v>
      </c>
      <c r="B190" s="5">
        <v>712</v>
      </c>
      <c r="C190" s="12">
        <v>187.34</v>
      </c>
      <c r="D190" s="11">
        <v>26.31</v>
      </c>
      <c r="E190" s="11">
        <f t="shared" si="10"/>
        <v>26.311797752808992</v>
      </c>
      <c r="F190" s="11">
        <v>26.31</v>
      </c>
      <c r="G190" s="11">
        <f t="shared" si="13"/>
        <v>26.311797752808992</v>
      </c>
    </row>
    <row r="191" spans="1:7" x14ac:dyDescent="0.25">
      <c r="A191" s="9">
        <v>43108</v>
      </c>
      <c r="B191" s="5">
        <v>608</v>
      </c>
      <c r="C191" s="12">
        <v>152.30000000000001</v>
      </c>
      <c r="D191" s="11">
        <v>25.05</v>
      </c>
      <c r="E191" s="11">
        <f t="shared" si="10"/>
        <v>25.049342105263161</v>
      </c>
      <c r="F191" s="11">
        <v>25.05</v>
      </c>
      <c r="G191" s="11">
        <f t="shared" si="13"/>
        <v>25.049342105263161</v>
      </c>
    </row>
    <row r="192" spans="1:7" x14ac:dyDescent="0.25">
      <c r="A192" s="9">
        <v>43104</v>
      </c>
      <c r="B192" s="5">
        <v>321</v>
      </c>
      <c r="C192" s="12">
        <v>91.4</v>
      </c>
      <c r="D192" s="11">
        <v>28.47</v>
      </c>
      <c r="E192" s="11">
        <f t="shared" si="10"/>
        <v>28.473520249221185</v>
      </c>
      <c r="F192" s="11">
        <v>28.47</v>
      </c>
      <c r="G192" s="11">
        <f t="shared" si="13"/>
        <v>28.473520249221185</v>
      </c>
    </row>
    <row r="193" spans="1:7" x14ac:dyDescent="0.25">
      <c r="A193" s="9">
        <v>43102</v>
      </c>
      <c r="B193" s="5">
        <v>600</v>
      </c>
      <c r="C193" s="12">
        <v>167</v>
      </c>
      <c r="D193" s="11">
        <v>27.83</v>
      </c>
      <c r="E193" s="11">
        <f t="shared" si="10"/>
        <v>27.833333333333332</v>
      </c>
      <c r="F193" s="11">
        <v>27.83</v>
      </c>
      <c r="G193" s="11">
        <f t="shared" si="13"/>
        <v>27.833333333333332</v>
      </c>
    </row>
    <row r="194" spans="1:7" x14ac:dyDescent="0.25">
      <c r="A194" s="9">
        <v>43097</v>
      </c>
      <c r="B194" s="5">
        <v>719</v>
      </c>
      <c r="C194" s="12">
        <v>202.26</v>
      </c>
      <c r="D194" s="11">
        <v>28.13</v>
      </c>
      <c r="E194" s="11">
        <f t="shared" ref="E194:E257" si="14">C194/B194*100</f>
        <v>28.130737134909594</v>
      </c>
      <c r="F194" s="11">
        <v>28.13</v>
      </c>
      <c r="G194" s="11">
        <f t="shared" si="13"/>
        <v>28.130737134909594</v>
      </c>
    </row>
    <row r="195" spans="1:7" x14ac:dyDescent="0.25">
      <c r="A195" s="9">
        <v>43090</v>
      </c>
      <c r="B195" s="5">
        <v>572</v>
      </c>
      <c r="C195" s="12">
        <v>172.83</v>
      </c>
      <c r="D195" s="11">
        <v>30.22</v>
      </c>
      <c r="E195" s="11">
        <f t="shared" si="14"/>
        <v>30.215034965034963</v>
      </c>
      <c r="F195" s="11">
        <v>30.22</v>
      </c>
      <c r="G195" s="11">
        <f t="shared" ref="G195:G258" si="15">C195/B195*100</f>
        <v>30.215034965034963</v>
      </c>
    </row>
    <row r="196" spans="1:7" x14ac:dyDescent="0.25">
      <c r="A196" s="9">
        <v>43087</v>
      </c>
      <c r="B196" s="5">
        <v>616</v>
      </c>
      <c r="C196" s="12">
        <v>176.47</v>
      </c>
      <c r="D196" s="11">
        <v>28.65</v>
      </c>
      <c r="E196" s="11">
        <f t="shared" si="14"/>
        <v>28.647727272727273</v>
      </c>
      <c r="F196" s="11">
        <v>28.65</v>
      </c>
      <c r="G196" s="11">
        <f t="shared" si="15"/>
        <v>28.647727272727273</v>
      </c>
    </row>
    <row r="197" spans="1:7" x14ac:dyDescent="0.25">
      <c r="A197" s="9">
        <v>43083</v>
      </c>
      <c r="B197" s="5">
        <v>603</v>
      </c>
      <c r="C197" s="12">
        <v>176.86</v>
      </c>
      <c r="D197" s="11">
        <v>29.33</v>
      </c>
      <c r="E197" s="11">
        <f t="shared" si="14"/>
        <v>29.330016583747931</v>
      </c>
      <c r="F197" s="11">
        <v>29.33</v>
      </c>
      <c r="G197" s="11">
        <f t="shared" si="15"/>
        <v>29.330016583747931</v>
      </c>
    </row>
    <row r="198" spans="1:7" x14ac:dyDescent="0.25">
      <c r="A198" s="9">
        <v>43080</v>
      </c>
      <c r="B198" s="5">
        <v>443</v>
      </c>
      <c r="C198" s="12">
        <v>138.97</v>
      </c>
      <c r="D198" s="11">
        <v>31.37</v>
      </c>
      <c r="E198" s="11">
        <f t="shared" si="14"/>
        <v>31.370203160270883</v>
      </c>
      <c r="F198" s="11">
        <v>31.37</v>
      </c>
      <c r="G198" s="11">
        <f t="shared" si="15"/>
        <v>31.370203160270883</v>
      </c>
    </row>
    <row r="199" spans="1:7" x14ac:dyDescent="0.25">
      <c r="A199" s="9">
        <v>43076</v>
      </c>
      <c r="B199" s="5">
        <v>273</v>
      </c>
      <c r="C199" s="12">
        <v>78</v>
      </c>
      <c r="D199" s="11">
        <v>28.57</v>
      </c>
      <c r="E199" s="11">
        <f t="shared" si="14"/>
        <v>28.571428571428569</v>
      </c>
      <c r="F199" s="11">
        <v>28.57</v>
      </c>
      <c r="G199" s="11">
        <f t="shared" si="15"/>
        <v>28.571428571428569</v>
      </c>
    </row>
    <row r="200" spans="1:7" x14ac:dyDescent="0.25">
      <c r="A200" s="9">
        <v>43075</v>
      </c>
      <c r="B200" s="5">
        <v>340</v>
      </c>
      <c r="C200" s="12">
        <v>126</v>
      </c>
      <c r="D200" s="11">
        <v>37.06</v>
      </c>
      <c r="E200" s="11">
        <f t="shared" si="14"/>
        <v>37.058823529411768</v>
      </c>
      <c r="F200" s="11">
        <v>37.06</v>
      </c>
      <c r="G200" s="11">
        <f t="shared" si="15"/>
        <v>37.058823529411768</v>
      </c>
    </row>
    <row r="201" spans="1:7" x14ac:dyDescent="0.25">
      <c r="A201" s="9">
        <v>43074</v>
      </c>
      <c r="B201" s="5">
        <v>619</v>
      </c>
      <c r="C201" s="12">
        <v>163</v>
      </c>
      <c r="D201" s="11">
        <v>26.33</v>
      </c>
      <c r="E201" s="11">
        <f t="shared" si="14"/>
        <v>26.332794830371569</v>
      </c>
      <c r="F201" s="11">
        <v>26.33</v>
      </c>
      <c r="G201" s="11">
        <f t="shared" si="15"/>
        <v>26.332794830371569</v>
      </c>
    </row>
    <row r="202" spans="1:7" x14ac:dyDescent="0.25">
      <c r="A202" s="9">
        <v>43061</v>
      </c>
      <c r="B202" s="5">
        <v>338</v>
      </c>
      <c r="C202" s="12">
        <v>103</v>
      </c>
      <c r="D202" s="11">
        <v>30.47</v>
      </c>
      <c r="E202" s="11">
        <f t="shared" si="14"/>
        <v>30.473372781065088</v>
      </c>
      <c r="F202" s="11">
        <v>30.47</v>
      </c>
      <c r="G202" s="11">
        <f t="shared" si="15"/>
        <v>30.473372781065088</v>
      </c>
    </row>
    <row r="203" spans="1:7" x14ac:dyDescent="0.25">
      <c r="A203" s="9">
        <v>43060</v>
      </c>
      <c r="B203" s="5">
        <v>342</v>
      </c>
      <c r="C203" s="12">
        <v>109</v>
      </c>
      <c r="D203" s="11">
        <v>31.87</v>
      </c>
      <c r="E203" s="11">
        <f t="shared" si="14"/>
        <v>31.871345029239766</v>
      </c>
      <c r="F203" s="11">
        <v>31.87</v>
      </c>
      <c r="G203" s="11">
        <f t="shared" si="15"/>
        <v>31.871345029239766</v>
      </c>
    </row>
    <row r="204" spans="1:7" x14ac:dyDescent="0.25">
      <c r="A204" s="9">
        <v>43059</v>
      </c>
      <c r="B204" s="5">
        <v>341</v>
      </c>
      <c r="C204" s="12">
        <v>105</v>
      </c>
      <c r="D204" s="11">
        <v>30.79</v>
      </c>
      <c r="E204" s="11">
        <f t="shared" si="14"/>
        <v>30.791788856304986</v>
      </c>
      <c r="F204" s="11">
        <v>30.79</v>
      </c>
      <c r="G204" s="11">
        <f t="shared" si="15"/>
        <v>30.791788856304986</v>
      </c>
    </row>
    <row r="205" spans="1:7" x14ac:dyDescent="0.25">
      <c r="A205" s="9">
        <v>43057</v>
      </c>
      <c r="B205" s="5">
        <v>311</v>
      </c>
      <c r="C205" s="12">
        <v>93</v>
      </c>
      <c r="D205" s="11">
        <v>29.9</v>
      </c>
      <c r="E205" s="11">
        <f t="shared" si="14"/>
        <v>29.903536977491964</v>
      </c>
      <c r="F205" s="11">
        <v>29.9</v>
      </c>
      <c r="G205" s="11">
        <f t="shared" si="15"/>
        <v>29.903536977491964</v>
      </c>
    </row>
    <row r="206" spans="1:7" x14ac:dyDescent="0.25">
      <c r="A206" s="9">
        <v>43056</v>
      </c>
      <c r="B206" s="5">
        <v>338</v>
      </c>
      <c r="C206" s="12">
        <v>106</v>
      </c>
      <c r="D206" s="11">
        <v>31.36</v>
      </c>
      <c r="E206" s="11">
        <f t="shared" si="14"/>
        <v>31.360946745562128</v>
      </c>
      <c r="F206" s="11">
        <v>31.36</v>
      </c>
      <c r="G206" s="11">
        <f t="shared" si="15"/>
        <v>31.360946745562128</v>
      </c>
    </row>
    <row r="207" spans="1:7" x14ac:dyDescent="0.25">
      <c r="A207" s="9">
        <v>43055</v>
      </c>
      <c r="B207" s="5">
        <v>432</v>
      </c>
      <c r="C207" s="12">
        <v>133</v>
      </c>
      <c r="D207" s="11">
        <v>30.79</v>
      </c>
      <c r="E207" s="11">
        <f t="shared" si="14"/>
        <v>30.787037037037035</v>
      </c>
      <c r="F207" s="11">
        <v>30.79</v>
      </c>
      <c r="G207" s="11">
        <f t="shared" si="15"/>
        <v>30.787037037037035</v>
      </c>
    </row>
    <row r="208" spans="1:7" x14ac:dyDescent="0.25">
      <c r="A208" s="9">
        <v>43053</v>
      </c>
      <c r="B208" s="5">
        <v>212</v>
      </c>
      <c r="C208" s="12">
        <v>60</v>
      </c>
      <c r="D208" s="11">
        <v>28.3</v>
      </c>
      <c r="E208" s="11">
        <f t="shared" si="14"/>
        <v>28.30188679245283</v>
      </c>
      <c r="F208" s="11">
        <v>28.3</v>
      </c>
      <c r="G208" s="11">
        <f t="shared" si="15"/>
        <v>28.30188679245283</v>
      </c>
    </row>
    <row r="209" spans="1:7" x14ac:dyDescent="0.25">
      <c r="A209" s="9">
        <v>43052</v>
      </c>
      <c r="B209" s="5">
        <v>171</v>
      </c>
      <c r="C209" s="12">
        <v>43</v>
      </c>
      <c r="D209" s="11">
        <v>25.15</v>
      </c>
      <c r="E209" s="11">
        <f t="shared" si="14"/>
        <v>25.146198830409354</v>
      </c>
      <c r="F209" s="11">
        <v>25.15</v>
      </c>
      <c r="G209" s="11">
        <f t="shared" si="15"/>
        <v>25.146198830409354</v>
      </c>
    </row>
    <row r="210" spans="1:7" x14ac:dyDescent="0.25">
      <c r="A210" s="9">
        <v>43050</v>
      </c>
      <c r="B210" s="5">
        <v>390</v>
      </c>
      <c r="C210" s="12">
        <v>170.79</v>
      </c>
      <c r="D210" s="11">
        <v>43.79</v>
      </c>
      <c r="E210" s="11">
        <f t="shared" si="14"/>
        <v>43.792307692307695</v>
      </c>
      <c r="F210" s="11">
        <v>43.79</v>
      </c>
      <c r="G210" s="11">
        <f t="shared" si="15"/>
        <v>43.792307692307695</v>
      </c>
    </row>
    <row r="211" spans="1:7" x14ac:dyDescent="0.25">
      <c r="A211" s="9">
        <v>43049</v>
      </c>
      <c r="B211" s="5">
        <v>208</v>
      </c>
      <c r="C211" s="12">
        <v>11.9</v>
      </c>
      <c r="D211" s="11">
        <v>5.72</v>
      </c>
      <c r="E211" s="11">
        <f t="shared" si="14"/>
        <v>5.7211538461538467</v>
      </c>
      <c r="F211" s="11"/>
      <c r="G211" s="11"/>
    </row>
    <row r="212" spans="1:7" x14ac:dyDescent="0.25">
      <c r="A212" s="9">
        <v>43048</v>
      </c>
      <c r="B212" s="5">
        <v>171</v>
      </c>
      <c r="C212" s="12">
        <v>27.2</v>
      </c>
      <c r="D212" s="11">
        <v>15.91</v>
      </c>
      <c r="E212" s="11">
        <f t="shared" si="14"/>
        <v>15.906432748538011</v>
      </c>
      <c r="F212" s="11"/>
      <c r="G212" s="11"/>
    </row>
    <row r="213" spans="1:7" x14ac:dyDescent="0.25">
      <c r="A213" s="9">
        <v>43048</v>
      </c>
      <c r="B213" s="5">
        <v>572</v>
      </c>
      <c r="C213" s="12">
        <v>164</v>
      </c>
      <c r="D213" s="11">
        <v>28.67</v>
      </c>
      <c r="E213" s="11">
        <f t="shared" si="14"/>
        <v>28.671328671328673</v>
      </c>
      <c r="F213" s="11">
        <v>28.67</v>
      </c>
      <c r="G213" s="11">
        <f t="shared" si="15"/>
        <v>28.671328671328673</v>
      </c>
    </row>
    <row r="214" spans="1:7" x14ac:dyDescent="0.25">
      <c r="A214" s="9">
        <v>43045</v>
      </c>
      <c r="B214" s="5">
        <v>673</v>
      </c>
      <c r="C214" s="12">
        <v>181.25</v>
      </c>
      <c r="D214" s="11">
        <v>26.93</v>
      </c>
      <c r="E214" s="11">
        <f t="shared" si="14"/>
        <v>26.931649331352155</v>
      </c>
      <c r="F214" s="11">
        <v>26.93</v>
      </c>
      <c r="G214" s="11">
        <f t="shared" si="15"/>
        <v>26.931649331352155</v>
      </c>
    </row>
    <row r="215" spans="1:7" x14ac:dyDescent="0.25">
      <c r="A215" s="9">
        <v>43038</v>
      </c>
      <c r="B215" s="5">
        <v>638</v>
      </c>
      <c r="C215" s="12">
        <v>178.68</v>
      </c>
      <c r="D215" s="11">
        <v>28.01</v>
      </c>
      <c r="E215" s="11">
        <f t="shared" si="14"/>
        <v>28.006269592476489</v>
      </c>
      <c r="F215" s="11">
        <v>28.01</v>
      </c>
      <c r="G215" s="11">
        <f t="shared" si="15"/>
        <v>28.006269592476489</v>
      </c>
    </row>
    <row r="216" spans="1:7" x14ac:dyDescent="0.25">
      <c r="A216" s="9">
        <v>43034</v>
      </c>
      <c r="B216" s="5">
        <v>643</v>
      </c>
      <c r="C216" s="12">
        <v>195.75</v>
      </c>
      <c r="D216" s="11">
        <v>30.44</v>
      </c>
      <c r="E216" s="11">
        <f t="shared" si="14"/>
        <v>30.443234836702953</v>
      </c>
      <c r="F216" s="11">
        <v>30.44</v>
      </c>
      <c r="G216" s="11">
        <f t="shared" si="15"/>
        <v>30.443234836702953</v>
      </c>
    </row>
    <row r="217" spans="1:7" x14ac:dyDescent="0.25">
      <c r="A217" s="9">
        <v>43031</v>
      </c>
      <c r="B217" s="5">
        <v>623</v>
      </c>
      <c r="C217" s="12">
        <v>163.29</v>
      </c>
      <c r="D217" s="11">
        <v>26.21</v>
      </c>
      <c r="E217" s="11">
        <f t="shared" si="14"/>
        <v>26.210272873194217</v>
      </c>
      <c r="F217" s="11">
        <v>26.21</v>
      </c>
      <c r="G217" s="11">
        <f t="shared" si="15"/>
        <v>26.210272873194217</v>
      </c>
    </row>
    <row r="218" spans="1:7" x14ac:dyDescent="0.25">
      <c r="A218" s="9">
        <v>43027</v>
      </c>
      <c r="B218" s="5">
        <v>602</v>
      </c>
      <c r="C218" s="12">
        <v>167.41</v>
      </c>
      <c r="D218" s="11">
        <v>27.81</v>
      </c>
      <c r="E218" s="11">
        <f t="shared" si="14"/>
        <v>27.808970099667775</v>
      </c>
      <c r="F218" s="11">
        <v>27.81</v>
      </c>
      <c r="G218" s="11">
        <f t="shared" si="15"/>
        <v>27.808970099667775</v>
      </c>
    </row>
    <row r="219" spans="1:7" x14ac:dyDescent="0.25">
      <c r="A219" s="9">
        <v>43024</v>
      </c>
      <c r="B219" s="5">
        <v>608</v>
      </c>
      <c r="C219" s="12">
        <v>151.22999999999999</v>
      </c>
      <c r="D219" s="11">
        <v>24.87</v>
      </c>
      <c r="E219" s="11">
        <f t="shared" si="14"/>
        <v>24.873355263157894</v>
      </c>
      <c r="F219" s="11">
        <v>24.87</v>
      </c>
      <c r="G219" s="11">
        <f t="shared" si="15"/>
        <v>24.873355263157894</v>
      </c>
    </row>
    <row r="220" spans="1:7" x14ac:dyDescent="0.25">
      <c r="A220" s="9">
        <v>43020</v>
      </c>
      <c r="B220" s="5">
        <v>596</v>
      </c>
      <c r="C220" s="12">
        <v>162.59</v>
      </c>
      <c r="D220" s="11">
        <v>27.28</v>
      </c>
      <c r="E220" s="11">
        <f t="shared" si="14"/>
        <v>27.280201342281877</v>
      </c>
      <c r="F220" s="11">
        <v>27.28</v>
      </c>
      <c r="G220" s="11">
        <f t="shared" si="15"/>
        <v>27.280201342281877</v>
      </c>
    </row>
    <row r="221" spans="1:7" x14ac:dyDescent="0.25">
      <c r="A221" s="9">
        <v>43017</v>
      </c>
      <c r="B221" s="5">
        <v>622</v>
      </c>
      <c r="C221" s="12">
        <v>156.94999999999999</v>
      </c>
      <c r="D221" s="11">
        <v>25.23</v>
      </c>
      <c r="E221" s="11">
        <f t="shared" si="14"/>
        <v>25.233118971061092</v>
      </c>
      <c r="F221" s="11">
        <v>25.23</v>
      </c>
      <c r="G221" s="11">
        <f t="shared" si="15"/>
        <v>25.233118971061092</v>
      </c>
    </row>
    <row r="222" spans="1:7" x14ac:dyDescent="0.25">
      <c r="A222" s="9">
        <v>43013</v>
      </c>
      <c r="B222" s="5">
        <v>362</v>
      </c>
      <c r="C222" s="12">
        <v>100</v>
      </c>
      <c r="D222" s="11">
        <v>27.62</v>
      </c>
      <c r="E222" s="11">
        <f t="shared" si="14"/>
        <v>27.624309392265197</v>
      </c>
      <c r="F222" s="11">
        <v>27.62</v>
      </c>
      <c r="G222" s="11">
        <f t="shared" si="15"/>
        <v>27.624309392265197</v>
      </c>
    </row>
    <row r="223" spans="1:7" x14ac:dyDescent="0.25">
      <c r="A223" s="9">
        <v>43010</v>
      </c>
      <c r="B223" s="5">
        <v>638</v>
      </c>
      <c r="C223" s="12">
        <v>165.1</v>
      </c>
      <c r="D223" s="11">
        <v>25.88</v>
      </c>
      <c r="E223" s="11">
        <f t="shared" si="14"/>
        <v>25.877742946708466</v>
      </c>
      <c r="F223" s="11">
        <v>25.88</v>
      </c>
      <c r="G223" s="11">
        <f t="shared" si="15"/>
        <v>25.877742946708466</v>
      </c>
    </row>
    <row r="224" spans="1:7" x14ac:dyDescent="0.25">
      <c r="A224" s="9">
        <v>43006</v>
      </c>
      <c r="B224" s="5">
        <v>570</v>
      </c>
      <c r="C224" s="12">
        <v>155.37</v>
      </c>
      <c r="D224" s="11">
        <v>27.26</v>
      </c>
      <c r="E224" s="11">
        <f t="shared" si="14"/>
        <v>27.257894736842108</v>
      </c>
      <c r="F224" s="11">
        <v>27.26</v>
      </c>
      <c r="G224" s="11">
        <f t="shared" si="15"/>
        <v>27.257894736842108</v>
      </c>
    </row>
    <row r="225" spans="1:7" x14ac:dyDescent="0.25">
      <c r="A225" s="9">
        <v>43003</v>
      </c>
      <c r="B225" s="5">
        <v>511</v>
      </c>
      <c r="C225" s="12">
        <v>131.16999999999999</v>
      </c>
      <c r="D225" s="11">
        <v>25.67</v>
      </c>
      <c r="E225" s="11">
        <f t="shared" si="14"/>
        <v>25.669275929549901</v>
      </c>
      <c r="F225" s="11">
        <v>25.67</v>
      </c>
      <c r="G225" s="11">
        <f t="shared" si="15"/>
        <v>25.669275929549901</v>
      </c>
    </row>
    <row r="226" spans="1:7" x14ac:dyDescent="0.25">
      <c r="A226" s="9">
        <v>42999</v>
      </c>
      <c r="B226" s="5">
        <v>672</v>
      </c>
      <c r="C226" s="12">
        <v>182.29</v>
      </c>
      <c r="D226" s="11">
        <v>27.13</v>
      </c>
      <c r="E226" s="11">
        <f t="shared" si="14"/>
        <v>27.126488095238095</v>
      </c>
      <c r="F226" s="11">
        <v>27.13</v>
      </c>
      <c r="G226" s="11">
        <f t="shared" si="15"/>
        <v>27.126488095238095</v>
      </c>
    </row>
    <row r="227" spans="1:7" x14ac:dyDescent="0.25">
      <c r="A227" s="9">
        <v>42997</v>
      </c>
      <c r="B227" s="5">
        <v>748</v>
      </c>
      <c r="C227" s="12">
        <v>196.61</v>
      </c>
      <c r="D227" s="11">
        <v>26.28</v>
      </c>
      <c r="E227" s="11">
        <f t="shared" si="14"/>
        <v>26.284759358288774</v>
      </c>
      <c r="F227" s="11">
        <v>26.28</v>
      </c>
      <c r="G227" s="11">
        <f t="shared" si="15"/>
        <v>26.284759358288774</v>
      </c>
    </row>
    <row r="228" spans="1:7" x14ac:dyDescent="0.25">
      <c r="A228" s="9">
        <v>42992</v>
      </c>
      <c r="B228" s="5">
        <v>543</v>
      </c>
      <c r="C228" s="12">
        <v>145.69999999999999</v>
      </c>
      <c r="D228" s="11">
        <v>26.83</v>
      </c>
      <c r="E228" s="11">
        <f t="shared" si="14"/>
        <v>26.832412523020256</v>
      </c>
      <c r="F228" s="11">
        <v>26.83</v>
      </c>
      <c r="G228" s="11">
        <f t="shared" si="15"/>
        <v>26.832412523020256</v>
      </c>
    </row>
    <row r="229" spans="1:7" x14ac:dyDescent="0.25">
      <c r="A229" s="9">
        <v>42989</v>
      </c>
      <c r="B229" s="5">
        <v>446</v>
      </c>
      <c r="C229" s="12">
        <v>118.82</v>
      </c>
      <c r="D229" s="11">
        <v>26.64</v>
      </c>
      <c r="E229" s="11">
        <f t="shared" si="14"/>
        <v>26.641255605381165</v>
      </c>
      <c r="F229" s="11">
        <v>26.64</v>
      </c>
      <c r="G229" s="11">
        <f t="shared" si="15"/>
        <v>26.641255605381165</v>
      </c>
    </row>
    <row r="230" spans="1:7" x14ac:dyDescent="0.25">
      <c r="A230" s="9">
        <v>42985</v>
      </c>
      <c r="B230" s="5">
        <v>649</v>
      </c>
      <c r="C230" s="12">
        <v>151.34</v>
      </c>
      <c r="D230" s="11">
        <v>23.32</v>
      </c>
      <c r="E230" s="11">
        <f t="shared" si="14"/>
        <v>23.318952234206471</v>
      </c>
      <c r="F230" s="11">
        <v>23.32</v>
      </c>
      <c r="G230" s="11">
        <f t="shared" si="15"/>
        <v>23.318952234206471</v>
      </c>
    </row>
    <row r="231" spans="1:7" x14ac:dyDescent="0.25">
      <c r="A231" s="9">
        <v>42982</v>
      </c>
      <c r="B231" s="5">
        <v>603</v>
      </c>
      <c r="C231" s="12">
        <v>141</v>
      </c>
      <c r="D231" s="11">
        <v>23.38</v>
      </c>
      <c r="E231" s="11">
        <f t="shared" si="14"/>
        <v>23.383084577114428</v>
      </c>
      <c r="F231" s="11">
        <v>23.38</v>
      </c>
      <c r="G231" s="11">
        <f t="shared" si="15"/>
        <v>23.383084577114428</v>
      </c>
    </row>
    <row r="232" spans="1:7" x14ac:dyDescent="0.25">
      <c r="A232" s="9">
        <v>42978</v>
      </c>
      <c r="B232" s="5">
        <v>529</v>
      </c>
      <c r="C232" s="12">
        <v>133.5</v>
      </c>
      <c r="D232" s="11">
        <v>25.24</v>
      </c>
      <c r="E232" s="11">
        <f t="shared" si="14"/>
        <v>25.236294896030248</v>
      </c>
      <c r="F232" s="11">
        <v>25.24</v>
      </c>
      <c r="G232" s="11">
        <f t="shared" si="15"/>
        <v>25.236294896030248</v>
      </c>
    </row>
    <row r="233" spans="1:7" x14ac:dyDescent="0.25">
      <c r="A233" s="9">
        <v>42975</v>
      </c>
      <c r="B233" s="5">
        <v>448</v>
      </c>
      <c r="C233" s="12">
        <v>105.25</v>
      </c>
      <c r="D233" s="11">
        <v>23.49</v>
      </c>
      <c r="E233" s="11">
        <f t="shared" si="14"/>
        <v>23.493303571428573</v>
      </c>
      <c r="F233" s="11">
        <v>23.49</v>
      </c>
      <c r="G233" s="11">
        <f t="shared" si="15"/>
        <v>23.493303571428573</v>
      </c>
    </row>
    <row r="234" spans="1:7" x14ac:dyDescent="0.25">
      <c r="A234" s="9">
        <v>42971</v>
      </c>
      <c r="B234" s="5">
        <v>641</v>
      </c>
      <c r="C234" s="12">
        <v>160.24</v>
      </c>
      <c r="D234" s="11">
        <v>25</v>
      </c>
      <c r="E234" s="11">
        <f t="shared" si="14"/>
        <v>24.998439937597507</v>
      </c>
      <c r="F234" s="11">
        <v>25</v>
      </c>
      <c r="G234" s="11">
        <f t="shared" si="15"/>
        <v>24.998439937597507</v>
      </c>
    </row>
    <row r="235" spans="1:7" x14ac:dyDescent="0.25">
      <c r="A235" s="9">
        <v>42968</v>
      </c>
      <c r="B235" s="5">
        <v>603</v>
      </c>
      <c r="C235" s="12">
        <v>138.49</v>
      </c>
      <c r="D235" s="11">
        <v>22.97</v>
      </c>
      <c r="E235" s="11">
        <f t="shared" si="14"/>
        <v>22.966832504145941</v>
      </c>
      <c r="F235" s="11">
        <v>22.97</v>
      </c>
      <c r="G235" s="11">
        <f t="shared" si="15"/>
        <v>22.966832504145941</v>
      </c>
    </row>
    <row r="236" spans="1:7" x14ac:dyDescent="0.25">
      <c r="A236" s="9">
        <v>42964</v>
      </c>
      <c r="B236" s="5">
        <v>328</v>
      </c>
      <c r="C236" s="12">
        <v>83.99</v>
      </c>
      <c r="D236" s="11">
        <v>25.61</v>
      </c>
      <c r="E236" s="11">
        <f t="shared" si="14"/>
        <v>25.60670731707317</v>
      </c>
      <c r="F236" s="11">
        <v>25.61</v>
      </c>
      <c r="G236" s="11">
        <f t="shared" si="15"/>
        <v>25.60670731707317</v>
      </c>
    </row>
    <row r="237" spans="1:7" x14ac:dyDescent="0.25">
      <c r="A237" s="9">
        <v>42961</v>
      </c>
      <c r="B237" s="5">
        <v>537</v>
      </c>
      <c r="C237" s="12">
        <v>130.01</v>
      </c>
      <c r="D237" s="11">
        <v>24.21</v>
      </c>
      <c r="E237" s="11">
        <f t="shared" si="14"/>
        <v>24.21042830540037</v>
      </c>
      <c r="F237" s="11">
        <v>24.21</v>
      </c>
      <c r="G237" s="11">
        <f t="shared" si="15"/>
        <v>24.21042830540037</v>
      </c>
    </row>
    <row r="238" spans="1:7" x14ac:dyDescent="0.25">
      <c r="A238" s="9">
        <v>42957</v>
      </c>
      <c r="B238" s="5">
        <v>423</v>
      </c>
      <c r="C238" s="12">
        <v>113.16</v>
      </c>
      <c r="D238" s="11">
        <v>26.75</v>
      </c>
      <c r="E238" s="11">
        <f t="shared" si="14"/>
        <v>26.75177304964539</v>
      </c>
      <c r="F238" s="11">
        <v>26.75</v>
      </c>
      <c r="G238" s="11">
        <f t="shared" si="15"/>
        <v>26.75177304964539</v>
      </c>
    </row>
    <row r="239" spans="1:7" x14ac:dyDescent="0.25">
      <c r="A239" s="9">
        <v>42954</v>
      </c>
      <c r="B239" s="5">
        <v>559</v>
      </c>
      <c r="C239" s="12">
        <v>139.66</v>
      </c>
      <c r="D239" s="11">
        <v>24.98</v>
      </c>
      <c r="E239" s="11">
        <f t="shared" si="14"/>
        <v>24.983899821109123</v>
      </c>
      <c r="F239" s="11">
        <v>24.98</v>
      </c>
      <c r="G239" s="11">
        <f t="shared" si="15"/>
        <v>24.983899821109123</v>
      </c>
    </row>
    <row r="240" spans="1:7" x14ac:dyDescent="0.25">
      <c r="A240" s="9">
        <v>42950</v>
      </c>
      <c r="B240" s="5">
        <v>528</v>
      </c>
      <c r="C240" s="12">
        <v>144.09</v>
      </c>
      <c r="D240" s="11">
        <v>27.29</v>
      </c>
      <c r="E240" s="11">
        <f t="shared" si="14"/>
        <v>27.289772727272727</v>
      </c>
      <c r="F240" s="11">
        <v>27.29</v>
      </c>
      <c r="G240" s="11">
        <f t="shared" si="15"/>
        <v>27.289772727272727</v>
      </c>
    </row>
    <row r="241" spans="1:7" x14ac:dyDescent="0.25">
      <c r="A241" s="9">
        <v>42947</v>
      </c>
      <c r="B241" s="5">
        <v>611</v>
      </c>
      <c r="C241" s="12">
        <v>146.43</v>
      </c>
      <c r="D241" s="11">
        <v>23.97</v>
      </c>
      <c r="E241" s="11">
        <f t="shared" si="14"/>
        <v>23.965630114566284</v>
      </c>
      <c r="F241" s="11">
        <v>23.97</v>
      </c>
      <c r="G241" s="11">
        <f t="shared" si="15"/>
        <v>23.965630114566284</v>
      </c>
    </row>
    <row r="242" spans="1:7" x14ac:dyDescent="0.25">
      <c r="A242" s="9">
        <v>42943</v>
      </c>
      <c r="B242" s="5">
        <v>576</v>
      </c>
      <c r="C242" s="12">
        <v>158.81</v>
      </c>
      <c r="D242" s="11">
        <v>27.57</v>
      </c>
      <c r="E242" s="11">
        <f t="shared" si="14"/>
        <v>27.571180555555557</v>
      </c>
      <c r="F242" s="11">
        <v>27.57</v>
      </c>
      <c r="G242" s="11">
        <f t="shared" si="15"/>
        <v>27.571180555555557</v>
      </c>
    </row>
    <row r="243" spans="1:7" x14ac:dyDescent="0.25">
      <c r="A243" s="9">
        <v>42940</v>
      </c>
      <c r="B243" s="5">
        <v>612</v>
      </c>
      <c r="C243" s="12">
        <v>149.51</v>
      </c>
      <c r="D243" s="11">
        <v>24.43</v>
      </c>
      <c r="E243" s="11">
        <f t="shared" si="14"/>
        <v>24.429738562091501</v>
      </c>
      <c r="F243" s="11">
        <v>24.43</v>
      </c>
      <c r="G243" s="11">
        <f t="shared" si="15"/>
        <v>24.429738562091501</v>
      </c>
    </row>
    <row r="244" spans="1:7" x14ac:dyDescent="0.25">
      <c r="A244" s="9">
        <v>42936</v>
      </c>
      <c r="B244" s="5">
        <v>33</v>
      </c>
      <c r="C244" s="12">
        <v>30.68</v>
      </c>
      <c r="D244" s="11">
        <v>92.97</v>
      </c>
      <c r="E244" s="11">
        <f t="shared" si="14"/>
        <v>92.969696969696969</v>
      </c>
      <c r="F244" s="11"/>
      <c r="G244" s="11"/>
    </row>
    <row r="245" spans="1:7" x14ac:dyDescent="0.25">
      <c r="A245" s="9">
        <v>42935</v>
      </c>
      <c r="B245" s="5">
        <v>594</v>
      </c>
      <c r="C245" s="12">
        <v>133.9</v>
      </c>
      <c r="D245" s="11">
        <v>22.54</v>
      </c>
      <c r="E245" s="11">
        <f t="shared" si="14"/>
        <v>22.542087542087543</v>
      </c>
      <c r="F245" s="11">
        <v>22.54</v>
      </c>
      <c r="G245" s="11">
        <f t="shared" si="15"/>
        <v>22.542087542087543</v>
      </c>
    </row>
    <row r="246" spans="1:7" x14ac:dyDescent="0.25">
      <c r="A246" s="9">
        <v>42933</v>
      </c>
      <c r="B246" s="5">
        <v>340</v>
      </c>
      <c r="C246" s="12">
        <v>87.7</v>
      </c>
      <c r="D246" s="11">
        <v>25.79</v>
      </c>
      <c r="E246" s="11">
        <f t="shared" si="14"/>
        <v>25.794117647058822</v>
      </c>
      <c r="F246" s="11">
        <v>25.79</v>
      </c>
      <c r="G246" s="11">
        <f t="shared" si="15"/>
        <v>25.794117647058822</v>
      </c>
    </row>
    <row r="247" spans="1:7" x14ac:dyDescent="0.25">
      <c r="A247" s="9">
        <v>42929</v>
      </c>
      <c r="B247" s="5">
        <v>587</v>
      </c>
      <c r="C247" s="12">
        <v>152.91999999999999</v>
      </c>
      <c r="D247" s="11">
        <v>26.05</v>
      </c>
      <c r="E247" s="11">
        <f t="shared" si="14"/>
        <v>26.051107325383306</v>
      </c>
      <c r="F247" s="11">
        <v>26.05</v>
      </c>
      <c r="G247" s="11">
        <f t="shared" si="15"/>
        <v>26.051107325383306</v>
      </c>
    </row>
    <row r="248" spans="1:7" x14ac:dyDescent="0.25">
      <c r="A248" s="9">
        <v>42926</v>
      </c>
      <c r="B248" s="5">
        <v>600</v>
      </c>
      <c r="C248" s="12">
        <v>148.96</v>
      </c>
      <c r="D248" s="11">
        <v>24.83</v>
      </c>
      <c r="E248" s="11">
        <f t="shared" si="14"/>
        <v>24.826666666666668</v>
      </c>
      <c r="F248" s="11">
        <v>24.83</v>
      </c>
      <c r="G248" s="11">
        <f t="shared" si="15"/>
        <v>24.826666666666668</v>
      </c>
    </row>
    <row r="249" spans="1:7" x14ac:dyDescent="0.25">
      <c r="A249" s="9">
        <v>42922</v>
      </c>
      <c r="B249" s="5">
        <v>559</v>
      </c>
      <c r="C249" s="12">
        <v>147.05000000000001</v>
      </c>
      <c r="D249" s="11">
        <v>26.31</v>
      </c>
      <c r="E249" s="11">
        <f t="shared" si="14"/>
        <v>26.305903398926656</v>
      </c>
      <c r="F249" s="11">
        <v>26.31</v>
      </c>
      <c r="G249" s="11">
        <f t="shared" si="15"/>
        <v>26.305903398926656</v>
      </c>
    </row>
    <row r="250" spans="1:7" x14ac:dyDescent="0.25">
      <c r="A250" s="9">
        <v>42919</v>
      </c>
      <c r="B250" s="5">
        <v>615</v>
      </c>
      <c r="C250" s="12">
        <v>148.80000000000001</v>
      </c>
      <c r="D250" s="11">
        <v>24.2</v>
      </c>
      <c r="E250" s="11">
        <f t="shared" si="14"/>
        <v>24.195121951219516</v>
      </c>
      <c r="F250" s="11">
        <v>24.2</v>
      </c>
      <c r="G250" s="11">
        <f t="shared" si="15"/>
        <v>24.195121951219516</v>
      </c>
    </row>
    <row r="251" spans="1:7" x14ac:dyDescent="0.25">
      <c r="A251" s="9">
        <v>42915</v>
      </c>
      <c r="B251" s="5">
        <v>555</v>
      </c>
      <c r="C251" s="12">
        <v>145.81</v>
      </c>
      <c r="D251" s="11">
        <v>26.27</v>
      </c>
      <c r="E251" s="11">
        <f t="shared" si="14"/>
        <v>26.272072072072071</v>
      </c>
      <c r="F251" s="11">
        <v>26.27</v>
      </c>
      <c r="G251" s="11">
        <f t="shared" si="15"/>
        <v>26.272072072072071</v>
      </c>
    </row>
    <row r="252" spans="1:7" x14ac:dyDescent="0.25">
      <c r="A252" s="9">
        <v>42912</v>
      </c>
      <c r="B252" s="5">
        <v>552</v>
      </c>
      <c r="C252" s="12">
        <v>137.87</v>
      </c>
      <c r="D252" s="11">
        <v>24.98</v>
      </c>
      <c r="E252" s="11">
        <f t="shared" si="14"/>
        <v>24.97644927536232</v>
      </c>
      <c r="F252" s="11">
        <v>24.98</v>
      </c>
      <c r="G252" s="11">
        <f t="shared" si="15"/>
        <v>24.97644927536232</v>
      </c>
    </row>
    <row r="253" spans="1:7" x14ac:dyDescent="0.25">
      <c r="A253" s="9">
        <v>42908</v>
      </c>
      <c r="B253" s="5">
        <v>576</v>
      </c>
      <c r="C253" s="12">
        <v>158.03</v>
      </c>
      <c r="D253" s="11">
        <v>27.44</v>
      </c>
      <c r="E253" s="11">
        <f t="shared" si="14"/>
        <v>27.435763888888886</v>
      </c>
      <c r="F253" s="11">
        <v>27.44</v>
      </c>
      <c r="G253" s="11">
        <f t="shared" si="15"/>
        <v>27.435763888888886</v>
      </c>
    </row>
    <row r="254" spans="1:7" x14ac:dyDescent="0.25">
      <c r="A254" s="9">
        <v>42905</v>
      </c>
      <c r="B254" s="5">
        <v>387</v>
      </c>
      <c r="C254" s="12">
        <v>98.4</v>
      </c>
      <c r="D254" s="11">
        <v>25.43</v>
      </c>
      <c r="E254" s="11">
        <f t="shared" si="14"/>
        <v>25.426356589147286</v>
      </c>
      <c r="F254" s="11">
        <v>25.43</v>
      </c>
      <c r="G254" s="11">
        <f t="shared" si="15"/>
        <v>25.426356589147286</v>
      </c>
    </row>
    <row r="255" spans="1:7" x14ac:dyDescent="0.25">
      <c r="A255" s="9">
        <v>42902</v>
      </c>
      <c r="B255" s="5">
        <v>528</v>
      </c>
      <c r="C255" s="12">
        <v>137</v>
      </c>
      <c r="D255" s="11">
        <v>25.95</v>
      </c>
      <c r="E255" s="11">
        <f t="shared" si="14"/>
        <v>25.946969696969695</v>
      </c>
      <c r="F255" s="11">
        <v>25.95</v>
      </c>
      <c r="G255" s="11">
        <f t="shared" si="15"/>
        <v>25.946969696969695</v>
      </c>
    </row>
    <row r="256" spans="1:7" x14ac:dyDescent="0.25">
      <c r="A256" s="9">
        <v>42898</v>
      </c>
      <c r="B256" s="5">
        <v>598</v>
      </c>
      <c r="C256" s="12">
        <v>156</v>
      </c>
      <c r="D256" s="11">
        <v>26.09</v>
      </c>
      <c r="E256" s="11">
        <f t="shared" si="14"/>
        <v>26.086956521739129</v>
      </c>
      <c r="F256" s="11">
        <v>26.09</v>
      </c>
      <c r="G256" s="11">
        <f t="shared" si="15"/>
        <v>26.086956521739129</v>
      </c>
    </row>
    <row r="257" spans="1:7" x14ac:dyDescent="0.25">
      <c r="A257" s="9">
        <v>42894</v>
      </c>
      <c r="B257" s="5">
        <v>322</v>
      </c>
      <c r="C257" s="12">
        <v>89</v>
      </c>
      <c r="D257" s="11">
        <v>27.64</v>
      </c>
      <c r="E257" s="11">
        <f t="shared" si="14"/>
        <v>27.639751552795033</v>
      </c>
      <c r="F257" s="11">
        <v>27.64</v>
      </c>
      <c r="G257" s="11">
        <f t="shared" si="15"/>
        <v>27.639751552795033</v>
      </c>
    </row>
    <row r="258" spans="1:7" x14ac:dyDescent="0.25">
      <c r="A258" s="9">
        <v>42892</v>
      </c>
      <c r="B258" s="5">
        <v>606</v>
      </c>
      <c r="C258" s="12">
        <v>157.80000000000001</v>
      </c>
      <c r="D258" s="11">
        <v>26.04</v>
      </c>
      <c r="E258" s="11">
        <f t="shared" ref="E258:E321" si="16">C258/B258*100</f>
        <v>26.03960396039604</v>
      </c>
      <c r="F258" s="11">
        <v>26.04</v>
      </c>
      <c r="G258" s="11">
        <f t="shared" si="15"/>
        <v>26.03960396039604</v>
      </c>
    </row>
    <row r="259" spans="1:7" x14ac:dyDescent="0.25">
      <c r="A259" s="9">
        <v>42887</v>
      </c>
      <c r="B259" s="5">
        <v>530</v>
      </c>
      <c r="C259" s="12">
        <v>166.5</v>
      </c>
      <c r="D259" s="11">
        <v>31.42</v>
      </c>
      <c r="E259" s="11">
        <f t="shared" si="16"/>
        <v>31.415094339622641</v>
      </c>
      <c r="F259" s="11">
        <v>31.42</v>
      </c>
      <c r="G259" s="11">
        <f t="shared" ref="G259:G321" si="17">C259/B259*100</f>
        <v>31.415094339622641</v>
      </c>
    </row>
    <row r="260" spans="1:7" x14ac:dyDescent="0.25">
      <c r="A260" s="9">
        <v>42884</v>
      </c>
      <c r="B260" s="5">
        <v>469</v>
      </c>
      <c r="C260" s="12">
        <v>129.78</v>
      </c>
      <c r="D260" s="11">
        <v>27.67</v>
      </c>
      <c r="E260" s="11">
        <f t="shared" si="16"/>
        <v>27.671641791044777</v>
      </c>
      <c r="F260" s="11">
        <v>27.67</v>
      </c>
      <c r="G260" s="11">
        <f t="shared" si="17"/>
        <v>27.671641791044777</v>
      </c>
    </row>
    <row r="261" spans="1:7" x14ac:dyDescent="0.25">
      <c r="A261" s="9">
        <v>42879</v>
      </c>
      <c r="B261" s="5">
        <v>481</v>
      </c>
      <c r="C261" s="12">
        <v>131.79</v>
      </c>
      <c r="D261" s="11">
        <v>27.4</v>
      </c>
      <c r="E261" s="11">
        <f t="shared" si="16"/>
        <v>27.399168399168399</v>
      </c>
      <c r="F261" s="11">
        <v>27.4</v>
      </c>
      <c r="G261" s="11">
        <f t="shared" si="17"/>
        <v>27.399168399168399</v>
      </c>
    </row>
    <row r="262" spans="1:7" x14ac:dyDescent="0.25">
      <c r="A262" s="9">
        <v>42877</v>
      </c>
      <c r="B262" s="5">
        <v>615</v>
      </c>
      <c r="C262" s="12">
        <v>166</v>
      </c>
      <c r="D262" s="11">
        <v>26.99</v>
      </c>
      <c r="E262" s="11">
        <f t="shared" si="16"/>
        <v>26.991869918699184</v>
      </c>
      <c r="F262" s="11">
        <v>26.99</v>
      </c>
      <c r="G262" s="11">
        <f t="shared" si="17"/>
        <v>26.991869918699184</v>
      </c>
    </row>
    <row r="263" spans="1:7" x14ac:dyDescent="0.25">
      <c r="A263" s="9">
        <v>42873</v>
      </c>
      <c r="B263" s="5">
        <v>567</v>
      </c>
      <c r="C263" s="12">
        <v>161</v>
      </c>
      <c r="D263" s="11">
        <v>28.4</v>
      </c>
      <c r="E263" s="11">
        <f t="shared" si="16"/>
        <v>28.39506172839506</v>
      </c>
      <c r="F263" s="11">
        <v>28.4</v>
      </c>
      <c r="G263" s="11">
        <f t="shared" si="17"/>
        <v>28.39506172839506</v>
      </c>
    </row>
    <row r="264" spans="1:7" x14ac:dyDescent="0.25">
      <c r="A264" s="9">
        <v>42870</v>
      </c>
      <c r="B264" s="5">
        <v>611</v>
      </c>
      <c r="C264" s="12">
        <v>164.66</v>
      </c>
      <c r="D264" s="11">
        <v>26.95</v>
      </c>
      <c r="E264" s="11">
        <f t="shared" si="16"/>
        <v>26.94926350245499</v>
      </c>
      <c r="F264" s="11">
        <v>26.95</v>
      </c>
      <c r="G264" s="11">
        <f t="shared" si="17"/>
        <v>26.94926350245499</v>
      </c>
    </row>
    <row r="265" spans="1:7" x14ac:dyDescent="0.25">
      <c r="A265" s="9">
        <v>42866</v>
      </c>
      <c r="B265" s="5">
        <v>580</v>
      </c>
      <c r="C265" s="12">
        <v>174.17</v>
      </c>
      <c r="D265" s="11">
        <v>30.03</v>
      </c>
      <c r="E265" s="11">
        <f t="shared" si="16"/>
        <v>30.029310344827586</v>
      </c>
      <c r="F265" s="11">
        <v>30.03</v>
      </c>
      <c r="G265" s="11">
        <f t="shared" si="17"/>
        <v>30.029310344827586</v>
      </c>
    </row>
    <row r="266" spans="1:7" x14ac:dyDescent="0.25">
      <c r="A266" s="9">
        <v>42863</v>
      </c>
      <c r="B266" s="5">
        <v>621</v>
      </c>
      <c r="C266" s="12">
        <v>168.05</v>
      </c>
      <c r="D266" s="11">
        <v>27.06</v>
      </c>
      <c r="E266" s="11">
        <f t="shared" si="16"/>
        <v>27.06119162640902</v>
      </c>
      <c r="F266" s="11">
        <v>27.06</v>
      </c>
      <c r="G266" s="11">
        <f t="shared" si="17"/>
        <v>27.06119162640902</v>
      </c>
    </row>
    <row r="267" spans="1:7" x14ac:dyDescent="0.25">
      <c r="A267" s="9">
        <v>42859</v>
      </c>
      <c r="B267" s="5">
        <v>373</v>
      </c>
      <c r="C267" s="12">
        <v>106.76</v>
      </c>
      <c r="D267" s="11">
        <v>28.62</v>
      </c>
      <c r="E267" s="11">
        <f t="shared" si="16"/>
        <v>28.621983914209114</v>
      </c>
      <c r="F267" s="11">
        <v>28.62</v>
      </c>
      <c r="G267" s="11">
        <f t="shared" si="17"/>
        <v>28.621983914209114</v>
      </c>
    </row>
    <row r="268" spans="1:7" x14ac:dyDescent="0.25">
      <c r="A268" s="9">
        <v>42857</v>
      </c>
      <c r="B268" s="5">
        <v>617</v>
      </c>
      <c r="C268" s="12">
        <v>175</v>
      </c>
      <c r="D268" s="11">
        <v>28.36</v>
      </c>
      <c r="E268" s="11">
        <f t="shared" si="16"/>
        <v>28.363047001620746</v>
      </c>
      <c r="F268" s="11">
        <v>28.36</v>
      </c>
      <c r="G268" s="11">
        <f t="shared" si="17"/>
        <v>28.363047001620746</v>
      </c>
    </row>
    <row r="269" spans="1:7" x14ac:dyDescent="0.25">
      <c r="A269" s="9">
        <v>42852</v>
      </c>
      <c r="B269" s="5">
        <v>31</v>
      </c>
      <c r="C269" s="12">
        <v>33.06</v>
      </c>
      <c r="D269" s="11">
        <v>106.65</v>
      </c>
      <c r="E269" s="11">
        <f t="shared" si="16"/>
        <v>106.6451612903226</v>
      </c>
      <c r="F269" s="11"/>
      <c r="G269" s="11"/>
    </row>
    <row r="270" spans="1:7" x14ac:dyDescent="0.25">
      <c r="A270" s="9">
        <v>42851</v>
      </c>
      <c r="B270" s="5">
        <v>420</v>
      </c>
      <c r="C270" s="12">
        <v>100</v>
      </c>
      <c r="D270" s="11">
        <v>23.81</v>
      </c>
      <c r="E270" s="11">
        <f t="shared" si="16"/>
        <v>23.809523809523807</v>
      </c>
      <c r="F270" s="11">
        <v>23.81</v>
      </c>
      <c r="G270" s="11">
        <f t="shared" si="17"/>
        <v>23.809523809523807</v>
      </c>
    </row>
    <row r="271" spans="1:7" x14ac:dyDescent="0.25">
      <c r="A271" s="9">
        <v>42850</v>
      </c>
      <c r="B271" s="5">
        <v>317</v>
      </c>
      <c r="C271" s="12">
        <v>79.23</v>
      </c>
      <c r="D271" s="11">
        <v>24.99</v>
      </c>
      <c r="E271" s="11">
        <f t="shared" si="16"/>
        <v>24.993690851735018</v>
      </c>
      <c r="F271" s="11">
        <v>24.99</v>
      </c>
      <c r="G271" s="11">
        <f t="shared" si="17"/>
        <v>24.993690851735018</v>
      </c>
    </row>
    <row r="272" spans="1:7" x14ac:dyDescent="0.25">
      <c r="A272" s="9">
        <v>42849</v>
      </c>
      <c r="B272" s="5">
        <v>447</v>
      </c>
      <c r="C272" s="12">
        <v>115.1</v>
      </c>
      <c r="D272" s="11">
        <v>25.75</v>
      </c>
      <c r="E272" s="11">
        <f t="shared" si="16"/>
        <v>25.749440715883669</v>
      </c>
      <c r="F272" s="11">
        <v>25.75</v>
      </c>
      <c r="G272" s="11">
        <f t="shared" si="17"/>
        <v>25.749440715883669</v>
      </c>
    </row>
    <row r="273" spans="1:7" x14ac:dyDescent="0.25">
      <c r="A273" s="9">
        <v>42848</v>
      </c>
      <c r="B273" s="5">
        <v>355</v>
      </c>
      <c r="C273" s="12">
        <v>104</v>
      </c>
      <c r="D273" s="11">
        <v>29.3</v>
      </c>
      <c r="E273" s="11">
        <f t="shared" si="16"/>
        <v>29.295774647887324</v>
      </c>
      <c r="F273" s="11">
        <v>29.3</v>
      </c>
      <c r="G273" s="11">
        <f t="shared" si="17"/>
        <v>29.295774647887324</v>
      </c>
    </row>
    <row r="274" spans="1:7" x14ac:dyDescent="0.25">
      <c r="A274" s="9">
        <v>42847</v>
      </c>
      <c r="B274" s="5">
        <v>405</v>
      </c>
      <c r="C274" s="12">
        <v>101.95</v>
      </c>
      <c r="D274" s="11">
        <v>25.17</v>
      </c>
      <c r="E274" s="11">
        <f t="shared" si="16"/>
        <v>25.172839506172838</v>
      </c>
      <c r="F274" s="11">
        <v>25.17</v>
      </c>
      <c r="G274" s="11">
        <f t="shared" si="17"/>
        <v>25.172839506172838</v>
      </c>
    </row>
    <row r="275" spans="1:7" x14ac:dyDescent="0.25">
      <c r="A275" s="9">
        <v>42846</v>
      </c>
      <c r="B275" s="5">
        <v>391</v>
      </c>
      <c r="C275" s="12">
        <v>95</v>
      </c>
      <c r="D275" s="11">
        <v>24.3</v>
      </c>
      <c r="E275" s="11">
        <f t="shared" si="16"/>
        <v>24.296675191815854</v>
      </c>
      <c r="F275" s="11">
        <v>24.3</v>
      </c>
      <c r="G275" s="11">
        <f t="shared" si="17"/>
        <v>24.296675191815854</v>
      </c>
    </row>
    <row r="276" spans="1:7" x14ac:dyDescent="0.25">
      <c r="A276" s="9">
        <v>42845</v>
      </c>
      <c r="B276" s="5">
        <v>710</v>
      </c>
      <c r="C276" s="12">
        <v>191.86</v>
      </c>
      <c r="D276" s="11">
        <v>27.02</v>
      </c>
      <c r="E276" s="11">
        <f t="shared" si="16"/>
        <v>27.022535211267606</v>
      </c>
      <c r="F276" s="11">
        <v>27.02</v>
      </c>
      <c r="G276" s="11">
        <f t="shared" si="17"/>
        <v>27.022535211267606</v>
      </c>
    </row>
    <row r="277" spans="1:7" x14ac:dyDescent="0.25">
      <c r="A277" s="9">
        <v>42838</v>
      </c>
      <c r="B277" s="5">
        <v>536</v>
      </c>
      <c r="C277" s="12">
        <v>141.30000000000001</v>
      </c>
      <c r="D277" s="11">
        <v>26.36</v>
      </c>
      <c r="E277" s="11">
        <f t="shared" si="16"/>
        <v>26.361940298507463</v>
      </c>
      <c r="F277" s="11">
        <v>26.36</v>
      </c>
      <c r="G277" s="11">
        <f t="shared" si="17"/>
        <v>26.361940298507463</v>
      </c>
    </row>
    <row r="278" spans="1:7" x14ac:dyDescent="0.25">
      <c r="A278" s="9">
        <v>42835</v>
      </c>
      <c r="B278" s="5">
        <v>657</v>
      </c>
      <c r="C278" s="12">
        <v>164.99</v>
      </c>
      <c r="D278" s="11">
        <v>25.11</v>
      </c>
      <c r="E278" s="11">
        <f t="shared" si="16"/>
        <v>25.112633181126331</v>
      </c>
      <c r="F278" s="11">
        <v>25.11</v>
      </c>
      <c r="G278" s="11">
        <f t="shared" si="17"/>
        <v>25.112633181126331</v>
      </c>
    </row>
    <row r="279" spans="1:7" x14ac:dyDescent="0.25">
      <c r="A279" s="9">
        <v>42831</v>
      </c>
      <c r="B279" s="5">
        <v>560</v>
      </c>
      <c r="C279" s="12">
        <v>160.37</v>
      </c>
      <c r="D279" s="11">
        <v>28.64</v>
      </c>
      <c r="E279" s="11">
        <f t="shared" si="16"/>
        <v>28.637499999999999</v>
      </c>
      <c r="F279" s="11">
        <v>28.64</v>
      </c>
      <c r="G279" s="11">
        <f t="shared" si="17"/>
        <v>28.637499999999999</v>
      </c>
    </row>
    <row r="280" spans="1:7" x14ac:dyDescent="0.25">
      <c r="A280" s="9">
        <v>42828</v>
      </c>
      <c r="B280" s="5">
        <v>612</v>
      </c>
      <c r="C280" s="12">
        <v>152.41</v>
      </c>
      <c r="D280" s="11">
        <v>24.9</v>
      </c>
      <c r="E280" s="11">
        <f t="shared" si="16"/>
        <v>24.903594771241831</v>
      </c>
      <c r="F280" s="11">
        <v>24.9</v>
      </c>
      <c r="G280" s="11">
        <f t="shared" si="17"/>
        <v>24.903594771241831</v>
      </c>
    </row>
    <row r="281" spans="1:7" x14ac:dyDescent="0.25">
      <c r="A281" s="9">
        <v>42824</v>
      </c>
      <c r="B281" s="5">
        <v>491</v>
      </c>
      <c r="C281" s="12">
        <v>133.25</v>
      </c>
      <c r="D281" s="11">
        <v>27.14</v>
      </c>
      <c r="E281" s="11">
        <f t="shared" si="16"/>
        <v>27.138492871690428</v>
      </c>
      <c r="F281" s="11">
        <v>27.14</v>
      </c>
      <c r="G281" s="11">
        <f t="shared" si="17"/>
        <v>27.138492871690428</v>
      </c>
    </row>
    <row r="282" spans="1:7" x14ac:dyDescent="0.25">
      <c r="A282" s="9">
        <v>42822</v>
      </c>
      <c r="B282" s="5">
        <v>692</v>
      </c>
      <c r="C282" s="12">
        <v>176.46</v>
      </c>
      <c r="D282" s="11">
        <v>25.5</v>
      </c>
      <c r="E282" s="11">
        <f t="shared" si="16"/>
        <v>25.5</v>
      </c>
      <c r="F282" s="11">
        <v>25.5</v>
      </c>
      <c r="G282" s="11">
        <f t="shared" si="17"/>
        <v>25.5</v>
      </c>
    </row>
    <row r="283" spans="1:7" x14ac:dyDescent="0.25">
      <c r="A283" s="9">
        <v>42817</v>
      </c>
      <c r="B283" s="5">
        <v>569</v>
      </c>
      <c r="C283" s="12">
        <v>152.06</v>
      </c>
      <c r="D283" s="11">
        <v>26.72</v>
      </c>
      <c r="E283" s="11">
        <f t="shared" si="16"/>
        <v>26.72407732864675</v>
      </c>
      <c r="F283" s="11">
        <v>26.72</v>
      </c>
      <c r="G283" s="11">
        <f t="shared" si="17"/>
        <v>26.72407732864675</v>
      </c>
    </row>
    <row r="284" spans="1:7" x14ac:dyDescent="0.25">
      <c r="A284" s="9">
        <v>42814</v>
      </c>
      <c r="B284" s="5">
        <v>611</v>
      </c>
      <c r="C284" s="12">
        <v>150.13999999999999</v>
      </c>
      <c r="D284" s="11">
        <v>24.57</v>
      </c>
      <c r="E284" s="11">
        <f t="shared" si="16"/>
        <v>24.572831423895252</v>
      </c>
      <c r="F284" s="11">
        <v>24.57</v>
      </c>
      <c r="G284" s="11">
        <f t="shared" si="17"/>
        <v>24.572831423895252</v>
      </c>
    </row>
    <row r="285" spans="1:7" x14ac:dyDescent="0.25">
      <c r="A285" s="9">
        <v>42810</v>
      </c>
      <c r="B285" s="5">
        <v>103</v>
      </c>
      <c r="C285" s="12">
        <v>33.33</v>
      </c>
      <c r="D285" s="11">
        <v>32.36</v>
      </c>
      <c r="E285" s="11">
        <f t="shared" si="16"/>
        <v>32.359223300970875</v>
      </c>
      <c r="F285" s="11">
        <v>32.36</v>
      </c>
      <c r="G285" s="11">
        <f t="shared" si="17"/>
        <v>32.359223300970875</v>
      </c>
    </row>
    <row r="286" spans="1:7" x14ac:dyDescent="0.25">
      <c r="A286" s="9">
        <v>42809</v>
      </c>
      <c r="B286" s="5">
        <v>738</v>
      </c>
      <c r="C286" s="12">
        <v>198.52</v>
      </c>
      <c r="D286" s="11">
        <v>26.9</v>
      </c>
      <c r="E286" s="11">
        <f t="shared" si="16"/>
        <v>26.899728997289973</v>
      </c>
      <c r="F286" s="11">
        <v>26.9</v>
      </c>
      <c r="G286" s="11">
        <f t="shared" si="17"/>
        <v>26.899728997289973</v>
      </c>
    </row>
    <row r="287" spans="1:7" x14ac:dyDescent="0.25">
      <c r="A287" s="9">
        <v>42804</v>
      </c>
      <c r="B287" s="5">
        <v>387</v>
      </c>
      <c r="C287" s="12">
        <v>112</v>
      </c>
      <c r="D287" s="11">
        <v>28.94</v>
      </c>
      <c r="E287" s="11">
        <f t="shared" si="16"/>
        <v>28.940568475452196</v>
      </c>
      <c r="F287" s="11">
        <v>28.94</v>
      </c>
      <c r="G287" s="11">
        <f t="shared" si="17"/>
        <v>28.940568475452196</v>
      </c>
    </row>
    <row r="288" spans="1:7" x14ac:dyDescent="0.25">
      <c r="A288" s="9">
        <v>42803</v>
      </c>
      <c r="B288" s="5">
        <v>569</v>
      </c>
      <c r="C288" s="12">
        <v>163</v>
      </c>
      <c r="D288" s="11">
        <v>28.65</v>
      </c>
      <c r="E288" s="11">
        <f t="shared" si="16"/>
        <v>28.646748681898064</v>
      </c>
      <c r="F288" s="11">
        <v>28.65</v>
      </c>
      <c r="G288" s="11">
        <f t="shared" si="17"/>
        <v>28.646748681898064</v>
      </c>
    </row>
    <row r="289" spans="1:7" x14ac:dyDescent="0.25">
      <c r="A289" s="9">
        <v>42800</v>
      </c>
      <c r="B289" s="5">
        <v>601</v>
      </c>
      <c r="C289" s="12">
        <v>147</v>
      </c>
      <c r="D289" s="11">
        <v>24.46</v>
      </c>
      <c r="E289" s="11">
        <f t="shared" si="16"/>
        <v>24.459234608985025</v>
      </c>
      <c r="F289" s="11">
        <v>24.46</v>
      </c>
      <c r="G289" s="11">
        <f t="shared" si="17"/>
        <v>24.459234608985025</v>
      </c>
    </row>
    <row r="290" spans="1:7" x14ac:dyDescent="0.25">
      <c r="A290" s="9">
        <v>42796</v>
      </c>
      <c r="B290" s="5">
        <v>522</v>
      </c>
      <c r="C290" s="12">
        <v>144.09</v>
      </c>
      <c r="D290" s="11">
        <v>27.6</v>
      </c>
      <c r="E290" s="11">
        <f t="shared" si="16"/>
        <v>27.603448275862068</v>
      </c>
      <c r="F290" s="11">
        <v>27.6</v>
      </c>
      <c r="G290" s="11">
        <f t="shared" si="17"/>
        <v>27.603448275862068</v>
      </c>
    </row>
    <row r="291" spans="1:7" x14ac:dyDescent="0.25">
      <c r="A291" s="9">
        <v>42793</v>
      </c>
      <c r="B291" s="5">
        <v>614</v>
      </c>
      <c r="C291" s="12">
        <v>157.07</v>
      </c>
      <c r="D291" s="11">
        <v>25.58</v>
      </c>
      <c r="E291" s="11">
        <f t="shared" si="16"/>
        <v>25.581433224755699</v>
      </c>
      <c r="F291" s="11">
        <v>25.58</v>
      </c>
      <c r="G291" s="11">
        <f t="shared" si="17"/>
        <v>25.581433224755699</v>
      </c>
    </row>
    <row r="292" spans="1:7" x14ac:dyDescent="0.25">
      <c r="A292" s="9">
        <v>42789</v>
      </c>
      <c r="B292" s="5">
        <v>560</v>
      </c>
      <c r="C292" s="12">
        <v>156.21</v>
      </c>
      <c r="D292" s="11">
        <v>27.89</v>
      </c>
      <c r="E292" s="11">
        <f t="shared" si="16"/>
        <v>27.894642857142859</v>
      </c>
      <c r="F292" s="11">
        <v>27.89</v>
      </c>
      <c r="G292" s="11">
        <f t="shared" si="17"/>
        <v>27.894642857142859</v>
      </c>
    </row>
    <row r="293" spans="1:7" x14ac:dyDescent="0.25">
      <c r="A293" s="9">
        <v>42786</v>
      </c>
      <c r="B293" s="5">
        <v>629</v>
      </c>
      <c r="C293" s="12">
        <v>164.94</v>
      </c>
      <c r="D293" s="11">
        <v>26.22</v>
      </c>
      <c r="E293" s="11">
        <f t="shared" si="16"/>
        <v>26.222575516693166</v>
      </c>
      <c r="F293" s="11">
        <v>26.22</v>
      </c>
      <c r="G293" s="11">
        <f t="shared" si="17"/>
        <v>26.222575516693166</v>
      </c>
    </row>
    <row r="294" spans="1:7" x14ac:dyDescent="0.25">
      <c r="A294" s="9">
        <v>42782</v>
      </c>
      <c r="B294" s="5">
        <v>499</v>
      </c>
      <c r="C294" s="12">
        <v>139.04</v>
      </c>
      <c r="D294" s="11">
        <v>27.86</v>
      </c>
      <c r="E294" s="11">
        <f t="shared" si="16"/>
        <v>27.863727454909821</v>
      </c>
      <c r="F294" s="11">
        <v>27.86</v>
      </c>
      <c r="G294" s="11">
        <f t="shared" si="17"/>
        <v>27.863727454909821</v>
      </c>
    </row>
    <row r="295" spans="1:7" x14ac:dyDescent="0.25">
      <c r="A295" s="9">
        <v>42780</v>
      </c>
      <c r="B295" s="5">
        <v>693</v>
      </c>
      <c r="C295" s="12">
        <v>192.2</v>
      </c>
      <c r="D295" s="11">
        <v>27.73</v>
      </c>
      <c r="E295" s="11">
        <f t="shared" si="16"/>
        <v>27.734487734487733</v>
      </c>
      <c r="F295" s="11">
        <v>27.73</v>
      </c>
      <c r="G295" s="11">
        <f t="shared" si="17"/>
        <v>27.734487734487733</v>
      </c>
    </row>
    <row r="296" spans="1:7" x14ac:dyDescent="0.25">
      <c r="A296" s="9">
        <v>42775</v>
      </c>
      <c r="B296" s="5">
        <v>568</v>
      </c>
      <c r="C296" s="12">
        <v>164.23</v>
      </c>
      <c r="D296" s="11">
        <v>28.91</v>
      </c>
      <c r="E296" s="11">
        <f t="shared" si="16"/>
        <v>28.913732394366193</v>
      </c>
      <c r="F296" s="11">
        <v>28.91</v>
      </c>
      <c r="G296" s="11">
        <f t="shared" si="17"/>
        <v>28.913732394366193</v>
      </c>
    </row>
    <row r="297" spans="1:7" x14ac:dyDescent="0.25">
      <c r="A297" s="9">
        <v>42772</v>
      </c>
      <c r="B297" s="5">
        <v>615</v>
      </c>
      <c r="C297" s="12">
        <v>167.07</v>
      </c>
      <c r="D297" s="11">
        <v>27.17</v>
      </c>
      <c r="E297" s="11">
        <f t="shared" si="16"/>
        <v>27.16585365853658</v>
      </c>
      <c r="F297" s="11">
        <v>27.17</v>
      </c>
      <c r="G297" s="11">
        <f t="shared" si="17"/>
        <v>27.16585365853658</v>
      </c>
    </row>
    <row r="298" spans="1:7" x14ac:dyDescent="0.25">
      <c r="A298" s="9">
        <v>42768</v>
      </c>
      <c r="B298" s="5">
        <v>566</v>
      </c>
      <c r="C298" s="12">
        <v>165.86</v>
      </c>
      <c r="D298" s="11">
        <v>29.3</v>
      </c>
      <c r="E298" s="11">
        <f t="shared" si="16"/>
        <v>29.303886925795052</v>
      </c>
      <c r="F298" s="11">
        <v>29.3</v>
      </c>
      <c r="G298" s="11">
        <f t="shared" si="17"/>
        <v>29.303886925795052</v>
      </c>
    </row>
    <row r="299" spans="1:7" x14ac:dyDescent="0.25">
      <c r="A299" s="9">
        <v>42765</v>
      </c>
      <c r="B299" s="5">
        <v>609</v>
      </c>
      <c r="C299" s="12">
        <v>167.25</v>
      </c>
      <c r="D299" s="11">
        <v>27.46</v>
      </c>
      <c r="E299" s="11">
        <f t="shared" si="16"/>
        <v>27.463054187192121</v>
      </c>
      <c r="F299" s="11">
        <v>27.46</v>
      </c>
      <c r="G299" s="11">
        <f t="shared" si="17"/>
        <v>27.463054187192121</v>
      </c>
    </row>
    <row r="300" spans="1:7" x14ac:dyDescent="0.25">
      <c r="A300" s="9">
        <v>42761</v>
      </c>
      <c r="B300" s="5">
        <v>591</v>
      </c>
      <c r="C300" s="12">
        <v>191.73</v>
      </c>
      <c r="D300" s="11">
        <v>32.44</v>
      </c>
      <c r="E300" s="11">
        <f t="shared" si="16"/>
        <v>32.441624365482227</v>
      </c>
      <c r="F300" s="11">
        <v>32.44</v>
      </c>
      <c r="G300" s="11">
        <f t="shared" si="17"/>
        <v>32.441624365482227</v>
      </c>
    </row>
    <row r="301" spans="1:7" x14ac:dyDescent="0.25">
      <c r="A301" s="9">
        <v>42758</v>
      </c>
      <c r="B301" s="5">
        <v>460</v>
      </c>
      <c r="C301" s="12">
        <v>147.54</v>
      </c>
      <c r="D301" s="11">
        <v>32.07</v>
      </c>
      <c r="E301" s="11">
        <f t="shared" si="16"/>
        <v>32.073913043478257</v>
      </c>
      <c r="F301" s="11">
        <v>32.07</v>
      </c>
      <c r="G301" s="11">
        <f t="shared" si="17"/>
        <v>32.073913043478257</v>
      </c>
    </row>
    <row r="302" spans="1:7" x14ac:dyDescent="0.25">
      <c r="A302" s="9">
        <v>42754</v>
      </c>
      <c r="B302" s="5">
        <v>716</v>
      </c>
      <c r="C302" s="12">
        <v>210.55</v>
      </c>
      <c r="D302" s="11">
        <v>29.41</v>
      </c>
      <c r="E302" s="11">
        <f t="shared" si="16"/>
        <v>29.406424581005584</v>
      </c>
      <c r="F302" s="11">
        <v>29.41</v>
      </c>
      <c r="G302" s="11">
        <f t="shared" si="17"/>
        <v>29.406424581005584</v>
      </c>
    </row>
    <row r="303" spans="1:7" x14ac:dyDescent="0.25">
      <c r="A303" s="9">
        <v>42751</v>
      </c>
      <c r="B303" s="5">
        <v>610</v>
      </c>
      <c r="C303" s="12">
        <v>175.12</v>
      </c>
      <c r="D303" s="11">
        <v>28.71</v>
      </c>
      <c r="E303" s="11">
        <f t="shared" si="16"/>
        <v>28.708196721311474</v>
      </c>
      <c r="F303" s="11">
        <v>28.71</v>
      </c>
      <c r="G303" s="11">
        <f t="shared" si="17"/>
        <v>28.708196721311474</v>
      </c>
    </row>
    <row r="304" spans="1:7" x14ac:dyDescent="0.25">
      <c r="A304" s="9">
        <v>42747</v>
      </c>
      <c r="B304" s="5">
        <v>540</v>
      </c>
      <c r="C304" s="12">
        <v>171.29</v>
      </c>
      <c r="D304" s="11">
        <v>31.72</v>
      </c>
      <c r="E304" s="11">
        <f t="shared" si="16"/>
        <v>31.720370370370372</v>
      </c>
      <c r="F304" s="11">
        <v>31.72</v>
      </c>
      <c r="G304" s="11">
        <f t="shared" si="17"/>
        <v>31.720370370370372</v>
      </c>
    </row>
    <row r="305" spans="1:9" x14ac:dyDescent="0.25">
      <c r="A305" s="9">
        <v>42744</v>
      </c>
      <c r="B305" s="5">
        <v>366</v>
      </c>
      <c r="C305" s="12">
        <v>135.07</v>
      </c>
      <c r="D305" s="11">
        <v>36.9</v>
      </c>
      <c r="E305" s="11">
        <f t="shared" si="16"/>
        <v>36.904371584699454</v>
      </c>
      <c r="F305" s="11">
        <v>36.9</v>
      </c>
      <c r="G305" s="11">
        <f t="shared" si="17"/>
        <v>36.904371584699454</v>
      </c>
    </row>
    <row r="306" spans="1:9" x14ac:dyDescent="0.25">
      <c r="A306" s="9">
        <v>42726</v>
      </c>
      <c r="B306" s="5">
        <v>529</v>
      </c>
      <c r="C306" s="12">
        <v>169.54</v>
      </c>
      <c r="D306" s="11">
        <v>32.049999999999997</v>
      </c>
      <c r="E306" s="11">
        <f t="shared" si="16"/>
        <v>32.049149338374292</v>
      </c>
      <c r="F306" s="11">
        <v>32.049999999999997</v>
      </c>
      <c r="G306" s="11">
        <f t="shared" si="17"/>
        <v>32.049149338374292</v>
      </c>
    </row>
    <row r="307" spans="1:9" x14ac:dyDescent="0.25">
      <c r="A307" s="9">
        <v>42723</v>
      </c>
      <c r="B307" s="5">
        <v>600</v>
      </c>
      <c r="C307" s="12">
        <v>164.28</v>
      </c>
      <c r="D307" s="11">
        <v>27.38</v>
      </c>
      <c r="E307" s="11">
        <f t="shared" si="16"/>
        <v>27.38</v>
      </c>
      <c r="F307" s="11">
        <v>27.38</v>
      </c>
      <c r="G307" s="11">
        <f t="shared" si="17"/>
        <v>27.38</v>
      </c>
    </row>
    <row r="308" spans="1:9" x14ac:dyDescent="0.25">
      <c r="A308" s="9">
        <v>42719</v>
      </c>
      <c r="B308" s="5">
        <v>527</v>
      </c>
      <c r="C308" s="12">
        <v>158.32</v>
      </c>
      <c r="D308" s="11">
        <v>30.04</v>
      </c>
      <c r="E308" s="11">
        <f t="shared" si="16"/>
        <v>30.041745730550286</v>
      </c>
      <c r="F308" s="11">
        <v>30.04</v>
      </c>
      <c r="G308" s="11">
        <f t="shared" si="17"/>
        <v>30.041745730550286</v>
      </c>
    </row>
    <row r="309" spans="1:9" x14ac:dyDescent="0.25">
      <c r="A309" s="9">
        <v>42716</v>
      </c>
      <c r="B309" s="5">
        <v>615</v>
      </c>
      <c r="C309" s="12">
        <v>162.38</v>
      </c>
      <c r="D309" s="11">
        <v>26.4</v>
      </c>
      <c r="E309" s="11">
        <f t="shared" si="16"/>
        <v>26.403252032520324</v>
      </c>
      <c r="F309" s="11">
        <v>26.4</v>
      </c>
      <c r="G309" s="11">
        <f t="shared" si="17"/>
        <v>26.403252032520324</v>
      </c>
    </row>
    <row r="310" spans="1:9" x14ac:dyDescent="0.25">
      <c r="A310" s="9">
        <v>42712</v>
      </c>
      <c r="B310" s="5">
        <v>540</v>
      </c>
      <c r="C310" s="12">
        <v>165.67</v>
      </c>
      <c r="D310" s="11">
        <v>30.68</v>
      </c>
      <c r="E310" s="11">
        <f t="shared" si="16"/>
        <v>30.67962962962963</v>
      </c>
      <c r="F310" s="11">
        <v>30.68</v>
      </c>
      <c r="G310" s="11">
        <f t="shared" si="17"/>
        <v>30.67962962962963</v>
      </c>
    </row>
    <row r="311" spans="1:9" x14ac:dyDescent="0.25">
      <c r="A311" s="9">
        <v>42709</v>
      </c>
      <c r="B311" s="5">
        <v>594</v>
      </c>
      <c r="C311" s="12">
        <v>161.27000000000001</v>
      </c>
      <c r="D311" s="11">
        <v>27.15</v>
      </c>
      <c r="E311" s="11">
        <f t="shared" si="16"/>
        <v>27.149831649831651</v>
      </c>
      <c r="F311" s="11">
        <v>27.15</v>
      </c>
      <c r="G311" s="11">
        <f t="shared" si="17"/>
        <v>27.149831649831651</v>
      </c>
    </row>
    <row r="312" spans="1:9" x14ac:dyDescent="0.25">
      <c r="A312" s="9">
        <v>42705</v>
      </c>
      <c r="B312" s="5">
        <v>530</v>
      </c>
      <c r="C312" s="12">
        <v>148</v>
      </c>
      <c r="D312" s="11">
        <v>27.92</v>
      </c>
      <c r="E312" s="11">
        <f t="shared" si="16"/>
        <v>27.924528301886792</v>
      </c>
      <c r="F312" s="11">
        <v>27.92</v>
      </c>
      <c r="G312" s="11">
        <f t="shared" si="17"/>
        <v>27.924528301886792</v>
      </c>
    </row>
    <row r="313" spans="1:9" ht="15" customHeight="1" x14ac:dyDescent="0.25">
      <c r="A313" s="9">
        <v>42702</v>
      </c>
      <c r="B313" s="5">
        <v>442</v>
      </c>
      <c r="C313" s="12">
        <v>132.80000000000001</v>
      </c>
      <c r="D313" s="11">
        <v>30.05</v>
      </c>
      <c r="E313" s="11">
        <f t="shared" si="16"/>
        <v>30.045248868778284</v>
      </c>
      <c r="F313" s="11">
        <v>30.05</v>
      </c>
      <c r="G313" s="11">
        <f t="shared" si="17"/>
        <v>30.045248868778284</v>
      </c>
      <c r="H313" s="14"/>
      <c r="I313" s="13"/>
    </row>
    <row r="314" spans="1:9" x14ac:dyDescent="0.25">
      <c r="A314" s="9">
        <v>42698</v>
      </c>
      <c r="B314" s="5">
        <v>817</v>
      </c>
      <c r="C314" s="12">
        <v>205.66</v>
      </c>
      <c r="D314" s="11">
        <v>25.17</v>
      </c>
      <c r="E314" s="11">
        <f t="shared" si="16"/>
        <v>25.172582619339046</v>
      </c>
      <c r="F314" s="11">
        <v>25.17</v>
      </c>
      <c r="G314" s="11">
        <f t="shared" si="17"/>
        <v>25.172582619339046</v>
      </c>
      <c r="H314" s="14"/>
    </row>
    <row r="315" spans="1:9" x14ac:dyDescent="0.25">
      <c r="A315" s="9">
        <v>42695</v>
      </c>
      <c r="B315" s="5">
        <v>488</v>
      </c>
      <c r="C315" s="12">
        <v>147.43</v>
      </c>
      <c r="D315" s="11">
        <v>30.21</v>
      </c>
      <c r="E315" s="11">
        <f t="shared" si="16"/>
        <v>30.211065573770497</v>
      </c>
      <c r="F315" s="11">
        <v>30.21</v>
      </c>
      <c r="G315" s="11">
        <f t="shared" si="17"/>
        <v>30.211065573770497</v>
      </c>
      <c r="H315" s="14"/>
    </row>
    <row r="316" spans="1:9" x14ac:dyDescent="0.25">
      <c r="A316" s="9">
        <v>42691</v>
      </c>
      <c r="B316" s="5">
        <v>319</v>
      </c>
      <c r="C316" s="12">
        <v>178</v>
      </c>
      <c r="D316" s="11">
        <v>55.8</v>
      </c>
      <c r="E316" s="11">
        <f t="shared" si="16"/>
        <v>55.799373040752357</v>
      </c>
      <c r="F316" s="11">
        <v>55.8</v>
      </c>
      <c r="G316" s="11">
        <f t="shared" si="17"/>
        <v>55.799373040752357</v>
      </c>
      <c r="H316" s="14"/>
    </row>
    <row r="317" spans="1:9" x14ac:dyDescent="0.25">
      <c r="A317" s="9">
        <v>42688</v>
      </c>
      <c r="B317" s="5">
        <v>835</v>
      </c>
      <c r="C317" s="12">
        <v>172</v>
      </c>
      <c r="D317" s="11">
        <v>20.6</v>
      </c>
      <c r="E317" s="11">
        <f t="shared" si="16"/>
        <v>20.598802395209582</v>
      </c>
      <c r="F317" s="11">
        <v>20.6</v>
      </c>
      <c r="G317" s="11">
        <f t="shared" si="17"/>
        <v>20.598802395209582</v>
      </c>
      <c r="H317" s="14"/>
    </row>
    <row r="318" spans="1:9" x14ac:dyDescent="0.25">
      <c r="A318" s="9">
        <v>42684</v>
      </c>
      <c r="B318" s="5">
        <v>800</v>
      </c>
      <c r="C318" s="12">
        <v>209.93</v>
      </c>
      <c r="D318" s="11">
        <v>26.24</v>
      </c>
      <c r="E318" s="11">
        <f t="shared" si="16"/>
        <v>26.241250000000001</v>
      </c>
      <c r="F318" s="11">
        <v>26.24</v>
      </c>
      <c r="G318" s="11">
        <f t="shared" si="17"/>
        <v>26.241250000000001</v>
      </c>
      <c r="H318" s="14"/>
    </row>
    <row r="319" spans="1:9" x14ac:dyDescent="0.25">
      <c r="A319" s="9">
        <v>42677</v>
      </c>
      <c r="B319" s="5">
        <v>578</v>
      </c>
      <c r="C319" s="12">
        <v>140</v>
      </c>
      <c r="D319" s="11">
        <v>24.22</v>
      </c>
      <c r="E319" s="11">
        <f t="shared" si="16"/>
        <v>24.221453287197232</v>
      </c>
      <c r="F319" s="11">
        <v>24.22</v>
      </c>
      <c r="G319" s="11">
        <f t="shared" si="17"/>
        <v>24.221453287197232</v>
      </c>
      <c r="H319" s="14"/>
    </row>
    <row r="320" spans="1:9" x14ac:dyDescent="0.25">
      <c r="A320" s="9">
        <v>42674</v>
      </c>
      <c r="B320" s="5">
        <v>559</v>
      </c>
      <c r="C320" s="12">
        <v>140</v>
      </c>
      <c r="D320" s="11">
        <v>25.04</v>
      </c>
      <c r="E320" s="11">
        <f t="shared" si="16"/>
        <v>25.044722719141323</v>
      </c>
      <c r="F320" s="11">
        <v>25.04</v>
      </c>
      <c r="G320" s="11">
        <f t="shared" si="17"/>
        <v>25.044722719141323</v>
      </c>
      <c r="H320" s="15"/>
    </row>
    <row r="321" spans="1:10" x14ac:dyDescent="0.25">
      <c r="A321" s="9">
        <v>42670</v>
      </c>
      <c r="B321" s="5">
        <v>621</v>
      </c>
      <c r="C321" s="12">
        <v>155</v>
      </c>
      <c r="D321" s="11">
        <v>24.96</v>
      </c>
      <c r="E321" s="11">
        <f t="shared" si="16"/>
        <v>24.9597423510467</v>
      </c>
      <c r="F321" s="11">
        <v>24.96</v>
      </c>
      <c r="G321" s="11">
        <f t="shared" si="17"/>
        <v>24.9597423510467</v>
      </c>
    </row>
    <row r="322" spans="1:10" x14ac:dyDescent="0.25">
      <c r="A322" s="9">
        <v>42664</v>
      </c>
      <c r="B322" s="5">
        <v>3318</v>
      </c>
      <c r="C322" s="12">
        <v>201.22</v>
      </c>
      <c r="D322" s="11">
        <v>6.06</v>
      </c>
      <c r="E322" s="11">
        <f t="shared" ref="E322:E385" si="18">C322/B322*100</f>
        <v>6.0644966847498489</v>
      </c>
      <c r="F322" s="11"/>
      <c r="G322" s="11"/>
    </row>
    <row r="323" spans="1:10" x14ac:dyDescent="0.25">
      <c r="A323" s="9">
        <v>42629</v>
      </c>
      <c r="B323" s="5">
        <v>508</v>
      </c>
      <c r="C323" s="12">
        <v>138.44999999999999</v>
      </c>
      <c r="D323" s="11">
        <v>27.25</v>
      </c>
      <c r="E323" s="11">
        <f t="shared" si="18"/>
        <v>27.253937007874011</v>
      </c>
      <c r="F323" s="11">
        <v>27.25</v>
      </c>
      <c r="G323" s="11">
        <f t="shared" ref="G323:G386" si="19">C323/B323*100</f>
        <v>27.253937007874011</v>
      </c>
      <c r="I323" s="13"/>
      <c r="J323" s="13"/>
    </row>
    <row r="324" spans="1:10" x14ac:dyDescent="0.25">
      <c r="A324" s="9">
        <v>42626</v>
      </c>
      <c r="B324" s="5">
        <v>796</v>
      </c>
      <c r="C324" s="12">
        <v>197.8</v>
      </c>
      <c r="D324" s="11">
        <v>24.85</v>
      </c>
      <c r="E324" s="11">
        <f t="shared" si="18"/>
        <v>24.849246231155782</v>
      </c>
      <c r="F324" s="11">
        <v>24.85</v>
      </c>
      <c r="G324" s="11">
        <f t="shared" si="19"/>
        <v>24.849246231155782</v>
      </c>
    </row>
    <row r="325" spans="1:10" x14ac:dyDescent="0.25">
      <c r="A325" s="9">
        <v>42621</v>
      </c>
      <c r="B325" s="5">
        <v>309</v>
      </c>
      <c r="C325" s="12">
        <v>82.84</v>
      </c>
      <c r="D325" s="11">
        <v>26.81</v>
      </c>
      <c r="E325" s="11">
        <f t="shared" si="18"/>
        <v>26.809061488673141</v>
      </c>
      <c r="F325" s="11">
        <v>26.81</v>
      </c>
      <c r="G325" s="11">
        <f t="shared" si="19"/>
        <v>26.809061488673141</v>
      </c>
    </row>
    <row r="326" spans="1:10" x14ac:dyDescent="0.25">
      <c r="A326" s="9">
        <v>42619</v>
      </c>
      <c r="B326" s="5">
        <v>804</v>
      </c>
      <c r="C326" s="12">
        <v>191.75</v>
      </c>
      <c r="D326" s="11">
        <v>23.85</v>
      </c>
      <c r="E326" s="11">
        <f t="shared" si="18"/>
        <v>23.849502487562187</v>
      </c>
      <c r="F326" s="11">
        <v>23.85</v>
      </c>
      <c r="G326" s="11">
        <f t="shared" si="19"/>
        <v>23.849502487562187</v>
      </c>
    </row>
    <row r="327" spans="1:10" x14ac:dyDescent="0.25">
      <c r="A327" s="9">
        <v>42614</v>
      </c>
      <c r="B327" s="5">
        <v>681</v>
      </c>
      <c r="C327" s="12">
        <v>166.39</v>
      </c>
      <c r="D327" s="11">
        <v>24.43</v>
      </c>
      <c r="E327" s="11">
        <f t="shared" si="18"/>
        <v>24.43318649045521</v>
      </c>
      <c r="F327" s="11">
        <v>24.43</v>
      </c>
      <c r="G327" s="11">
        <f t="shared" si="19"/>
        <v>24.43318649045521</v>
      </c>
    </row>
    <row r="328" spans="1:10" x14ac:dyDescent="0.25">
      <c r="A328" s="9">
        <v>42593</v>
      </c>
      <c r="B328" s="5">
        <v>733</v>
      </c>
      <c r="C328" s="12">
        <v>193.02</v>
      </c>
      <c r="D328" s="11">
        <v>26.33</v>
      </c>
      <c r="E328" s="11">
        <f t="shared" si="18"/>
        <v>26.332878581173265</v>
      </c>
      <c r="F328" s="11">
        <v>26.33</v>
      </c>
      <c r="G328" s="11">
        <f t="shared" si="19"/>
        <v>26.332878581173265</v>
      </c>
    </row>
    <row r="329" spans="1:10" x14ac:dyDescent="0.25">
      <c r="A329" s="9">
        <v>42587</v>
      </c>
      <c r="B329" s="5">
        <v>865</v>
      </c>
      <c r="C329" s="12">
        <v>205.08</v>
      </c>
      <c r="D329" s="11">
        <v>23.71</v>
      </c>
      <c r="E329" s="11">
        <f t="shared" si="18"/>
        <v>23.708670520231216</v>
      </c>
      <c r="F329" s="11">
        <v>23.71</v>
      </c>
      <c r="G329" s="11">
        <f t="shared" si="19"/>
        <v>23.708670520231216</v>
      </c>
    </row>
    <row r="330" spans="1:10" x14ac:dyDescent="0.25">
      <c r="A330" s="9">
        <v>42583</v>
      </c>
      <c r="B330" s="5">
        <v>632</v>
      </c>
      <c r="C330" s="12">
        <v>151.78</v>
      </c>
      <c r="D330" s="11">
        <v>24.02</v>
      </c>
      <c r="E330" s="11">
        <f t="shared" si="18"/>
        <v>24.015822784810126</v>
      </c>
      <c r="F330" s="11">
        <v>24.02</v>
      </c>
      <c r="G330" s="11">
        <f t="shared" si="19"/>
        <v>24.015822784810126</v>
      </c>
    </row>
    <row r="331" spans="1:10" x14ac:dyDescent="0.25">
      <c r="A331" s="9">
        <v>42579</v>
      </c>
      <c r="B331" s="5">
        <v>519</v>
      </c>
      <c r="C331" s="12">
        <v>138.56</v>
      </c>
      <c r="D331" s="11">
        <v>26.7</v>
      </c>
      <c r="E331" s="11">
        <f t="shared" si="18"/>
        <v>26.697495183044317</v>
      </c>
      <c r="F331" s="11">
        <v>26.7</v>
      </c>
      <c r="G331" s="11">
        <f t="shared" si="19"/>
        <v>26.697495183044317</v>
      </c>
    </row>
    <row r="332" spans="1:10" x14ac:dyDescent="0.25">
      <c r="A332" s="9">
        <v>42576</v>
      </c>
      <c r="B332" s="5">
        <v>582</v>
      </c>
      <c r="C332" s="12">
        <v>148.21</v>
      </c>
      <c r="D332" s="11">
        <v>25.47</v>
      </c>
      <c r="E332" s="11">
        <f t="shared" si="18"/>
        <v>25.465635738831615</v>
      </c>
      <c r="F332" s="11">
        <v>25.47</v>
      </c>
      <c r="G332" s="11">
        <f t="shared" si="19"/>
        <v>25.465635738831615</v>
      </c>
    </row>
    <row r="333" spans="1:10" x14ac:dyDescent="0.25">
      <c r="A333" s="9">
        <v>42572</v>
      </c>
      <c r="B333" s="5">
        <v>509</v>
      </c>
      <c r="C333" s="12">
        <v>134.6</v>
      </c>
      <c r="D333" s="11">
        <v>26.44</v>
      </c>
      <c r="E333" s="11">
        <f t="shared" si="18"/>
        <v>26.444007858546172</v>
      </c>
      <c r="F333" s="11">
        <v>26.44</v>
      </c>
      <c r="G333" s="11">
        <f t="shared" si="19"/>
        <v>26.444007858546172</v>
      </c>
    </row>
    <row r="334" spans="1:10" x14ac:dyDescent="0.25">
      <c r="A334" s="9">
        <v>42569</v>
      </c>
      <c r="B334" s="5">
        <v>585</v>
      </c>
      <c r="C334" s="12">
        <v>156.4</v>
      </c>
      <c r="D334" s="11">
        <v>26.74</v>
      </c>
      <c r="E334" s="11">
        <f t="shared" si="18"/>
        <v>26.735042735042736</v>
      </c>
      <c r="F334" s="11">
        <v>26.74</v>
      </c>
      <c r="G334" s="11">
        <f t="shared" si="19"/>
        <v>26.735042735042736</v>
      </c>
    </row>
    <row r="335" spans="1:10" x14ac:dyDescent="0.25">
      <c r="A335" s="9">
        <v>42565</v>
      </c>
      <c r="B335" s="5">
        <v>310</v>
      </c>
      <c r="C335" s="12">
        <v>83</v>
      </c>
      <c r="D335" s="11">
        <v>26.77</v>
      </c>
      <c r="E335" s="11">
        <f t="shared" si="18"/>
        <v>26.7741935483871</v>
      </c>
      <c r="F335" s="11">
        <v>26.77</v>
      </c>
      <c r="G335" s="11">
        <f t="shared" si="19"/>
        <v>26.7741935483871</v>
      </c>
    </row>
    <row r="336" spans="1:10" x14ac:dyDescent="0.25">
      <c r="A336" s="9">
        <v>42563</v>
      </c>
      <c r="B336" s="5">
        <v>644</v>
      </c>
      <c r="C336" s="12">
        <v>178</v>
      </c>
      <c r="D336" s="11">
        <v>27.64</v>
      </c>
      <c r="E336" s="11">
        <f t="shared" si="18"/>
        <v>27.639751552795033</v>
      </c>
      <c r="F336" s="11">
        <v>27.64</v>
      </c>
      <c r="G336" s="11">
        <f t="shared" si="19"/>
        <v>27.639751552795033</v>
      </c>
    </row>
    <row r="337" spans="1:7" x14ac:dyDescent="0.25">
      <c r="A337" s="9">
        <v>42558</v>
      </c>
      <c r="B337" s="5">
        <v>631</v>
      </c>
      <c r="C337" s="12">
        <v>175</v>
      </c>
      <c r="D337" s="11">
        <v>27.73</v>
      </c>
      <c r="E337" s="11">
        <f t="shared" si="18"/>
        <v>27.733755942947703</v>
      </c>
      <c r="F337" s="11">
        <v>27.73</v>
      </c>
      <c r="G337" s="11">
        <f t="shared" si="19"/>
        <v>27.733755942947703</v>
      </c>
    </row>
    <row r="338" spans="1:7" x14ac:dyDescent="0.25">
      <c r="A338" s="9">
        <v>42555</v>
      </c>
      <c r="B338" s="5">
        <v>592</v>
      </c>
      <c r="C338" s="12">
        <v>142</v>
      </c>
      <c r="D338" s="11">
        <v>23.99</v>
      </c>
      <c r="E338" s="11">
        <f t="shared" si="18"/>
        <v>23.986486486486484</v>
      </c>
      <c r="F338" s="11">
        <v>23.99</v>
      </c>
      <c r="G338" s="11">
        <f t="shared" si="19"/>
        <v>23.986486486486484</v>
      </c>
    </row>
    <row r="339" spans="1:7" x14ac:dyDescent="0.25">
      <c r="A339" s="9">
        <v>42551</v>
      </c>
      <c r="B339" s="5">
        <v>514</v>
      </c>
      <c r="C339" s="12">
        <v>133.65</v>
      </c>
      <c r="D339" s="11">
        <v>26</v>
      </c>
      <c r="E339" s="11">
        <f t="shared" si="18"/>
        <v>26.001945525291831</v>
      </c>
      <c r="F339" s="11">
        <v>26</v>
      </c>
      <c r="G339" s="11">
        <f t="shared" si="19"/>
        <v>26.001945525291831</v>
      </c>
    </row>
    <row r="340" spans="1:7" x14ac:dyDescent="0.25">
      <c r="A340" s="9">
        <v>42548</v>
      </c>
      <c r="B340" s="5">
        <v>586</v>
      </c>
      <c r="C340" s="12">
        <v>144.19</v>
      </c>
      <c r="D340" s="11">
        <v>24.61</v>
      </c>
      <c r="E340" s="11">
        <f t="shared" si="18"/>
        <v>24.60580204778157</v>
      </c>
      <c r="F340" s="11">
        <v>24.61</v>
      </c>
      <c r="G340" s="11">
        <f t="shared" si="19"/>
        <v>24.60580204778157</v>
      </c>
    </row>
    <row r="341" spans="1:7" x14ac:dyDescent="0.25">
      <c r="A341" s="9">
        <v>42544</v>
      </c>
      <c r="B341" s="5">
        <v>514</v>
      </c>
      <c r="C341" s="12">
        <v>139.47999999999999</v>
      </c>
      <c r="D341" s="11">
        <v>27.14</v>
      </c>
      <c r="E341" s="11">
        <f t="shared" si="18"/>
        <v>27.136186770428012</v>
      </c>
      <c r="F341" s="11">
        <v>27.14</v>
      </c>
      <c r="G341" s="11">
        <f t="shared" si="19"/>
        <v>27.136186770428012</v>
      </c>
    </row>
    <row r="342" spans="1:7" x14ac:dyDescent="0.25">
      <c r="A342" s="9">
        <v>42541</v>
      </c>
      <c r="B342" s="5">
        <v>432</v>
      </c>
      <c r="C342" s="12">
        <v>108.82</v>
      </c>
      <c r="D342" s="11">
        <v>25.19</v>
      </c>
      <c r="E342" s="11">
        <f t="shared" si="18"/>
        <v>25.189814814814817</v>
      </c>
      <c r="F342" s="11">
        <v>25.19</v>
      </c>
      <c r="G342" s="11">
        <f t="shared" si="19"/>
        <v>25.189814814814817</v>
      </c>
    </row>
    <row r="343" spans="1:7" x14ac:dyDescent="0.25">
      <c r="A343" s="9">
        <v>42537</v>
      </c>
      <c r="B343" s="5">
        <v>631</v>
      </c>
      <c r="C343" s="12">
        <v>155.27000000000001</v>
      </c>
      <c r="D343" s="11">
        <v>24.61</v>
      </c>
      <c r="E343" s="11">
        <f t="shared" si="18"/>
        <v>24.606973058637085</v>
      </c>
      <c r="F343" s="11">
        <v>24.61</v>
      </c>
      <c r="G343" s="11">
        <f t="shared" si="19"/>
        <v>24.606973058637085</v>
      </c>
    </row>
    <row r="344" spans="1:7" x14ac:dyDescent="0.25">
      <c r="A344" s="9">
        <v>42534</v>
      </c>
      <c r="B344" s="5">
        <v>431</v>
      </c>
      <c r="C344" s="12">
        <v>105.51</v>
      </c>
      <c r="D344" s="11">
        <v>24.48</v>
      </c>
      <c r="E344" s="11">
        <f t="shared" si="18"/>
        <v>24.480278422273784</v>
      </c>
      <c r="F344" s="11">
        <v>24.48</v>
      </c>
      <c r="G344" s="11">
        <f t="shared" si="19"/>
        <v>24.480278422273784</v>
      </c>
    </row>
    <row r="345" spans="1:7" x14ac:dyDescent="0.25">
      <c r="A345" s="9">
        <v>42530</v>
      </c>
      <c r="B345" s="5">
        <v>637</v>
      </c>
      <c r="C345" s="12">
        <v>157.97</v>
      </c>
      <c r="D345" s="11">
        <v>24.8</v>
      </c>
      <c r="E345" s="11">
        <f t="shared" si="18"/>
        <v>24.799058084772373</v>
      </c>
      <c r="F345" s="11">
        <v>24.8</v>
      </c>
      <c r="G345" s="11">
        <f t="shared" si="19"/>
        <v>24.799058084772373</v>
      </c>
    </row>
    <row r="346" spans="1:7" x14ac:dyDescent="0.25">
      <c r="A346" s="9">
        <v>42527</v>
      </c>
      <c r="B346" s="5">
        <v>573</v>
      </c>
      <c r="C346" s="12">
        <v>140.69999999999999</v>
      </c>
      <c r="D346" s="11">
        <v>24.55</v>
      </c>
      <c r="E346" s="11">
        <f t="shared" si="18"/>
        <v>24.554973821989527</v>
      </c>
      <c r="F346" s="11">
        <v>24.55</v>
      </c>
      <c r="G346" s="11">
        <f t="shared" si="19"/>
        <v>24.554973821989527</v>
      </c>
    </row>
    <row r="347" spans="1:7" x14ac:dyDescent="0.25">
      <c r="A347" s="9">
        <v>42523</v>
      </c>
      <c r="B347" s="5">
        <v>306</v>
      </c>
      <c r="C347" s="12">
        <v>82</v>
      </c>
      <c r="D347" s="11">
        <v>26.8</v>
      </c>
      <c r="E347" s="11">
        <f t="shared" si="18"/>
        <v>26.797385620915033</v>
      </c>
      <c r="F347" s="11">
        <v>26.8</v>
      </c>
      <c r="G347" s="11">
        <f t="shared" si="19"/>
        <v>26.797385620915033</v>
      </c>
    </row>
    <row r="348" spans="1:7" x14ac:dyDescent="0.25">
      <c r="A348" s="9">
        <v>42521</v>
      </c>
      <c r="B348" s="5">
        <v>604</v>
      </c>
      <c r="C348" s="12">
        <v>156</v>
      </c>
      <c r="D348" s="11">
        <v>25.83</v>
      </c>
      <c r="E348" s="11">
        <f t="shared" si="18"/>
        <v>25.827814569536422</v>
      </c>
      <c r="F348" s="11">
        <v>25.83</v>
      </c>
      <c r="G348" s="11">
        <f t="shared" si="19"/>
        <v>25.827814569536422</v>
      </c>
    </row>
    <row r="349" spans="1:7" x14ac:dyDescent="0.25">
      <c r="A349" s="9">
        <v>42517</v>
      </c>
      <c r="B349" s="5">
        <v>517</v>
      </c>
      <c r="C349" s="12">
        <v>134</v>
      </c>
      <c r="D349" s="11">
        <v>25.92</v>
      </c>
      <c r="E349" s="11">
        <f t="shared" si="18"/>
        <v>25.918762088974855</v>
      </c>
      <c r="F349" s="11">
        <v>25.92</v>
      </c>
      <c r="G349" s="11">
        <f t="shared" si="19"/>
        <v>25.918762088974855</v>
      </c>
    </row>
    <row r="350" spans="1:7" x14ac:dyDescent="0.25">
      <c r="A350" s="9">
        <v>42513</v>
      </c>
      <c r="B350" s="5">
        <v>590</v>
      </c>
      <c r="C350" s="12">
        <v>136</v>
      </c>
      <c r="D350" s="11">
        <v>23.05</v>
      </c>
      <c r="E350" s="11">
        <f t="shared" si="18"/>
        <v>23.050847457627118</v>
      </c>
      <c r="F350" s="11">
        <v>23.05</v>
      </c>
      <c r="G350" s="11">
        <f t="shared" si="19"/>
        <v>23.050847457627118</v>
      </c>
    </row>
    <row r="351" spans="1:7" x14ac:dyDescent="0.25">
      <c r="A351" s="9">
        <v>42509</v>
      </c>
      <c r="B351" s="5">
        <v>733</v>
      </c>
      <c r="C351" s="12">
        <v>189.5</v>
      </c>
      <c r="D351" s="11">
        <v>25.85</v>
      </c>
      <c r="E351" s="11">
        <f t="shared" si="18"/>
        <v>25.852660300136428</v>
      </c>
      <c r="F351" s="11">
        <v>25.85</v>
      </c>
      <c r="G351" s="11">
        <f t="shared" si="19"/>
        <v>25.852660300136428</v>
      </c>
    </row>
    <row r="352" spans="1:7" x14ac:dyDescent="0.25">
      <c r="A352" s="9">
        <v>42502</v>
      </c>
      <c r="B352" s="5">
        <v>643</v>
      </c>
      <c r="C352" s="12">
        <v>160</v>
      </c>
      <c r="D352" s="11">
        <v>24.88</v>
      </c>
      <c r="E352" s="11">
        <f t="shared" si="18"/>
        <v>24.883359253499222</v>
      </c>
      <c r="F352" s="11">
        <v>24.88</v>
      </c>
      <c r="G352" s="11">
        <f t="shared" si="19"/>
        <v>24.883359253499222</v>
      </c>
    </row>
    <row r="353" spans="1:7" x14ac:dyDescent="0.25">
      <c r="A353" s="9">
        <v>42499</v>
      </c>
      <c r="B353" s="5">
        <v>589</v>
      </c>
      <c r="C353" s="12">
        <v>141.33000000000001</v>
      </c>
      <c r="D353" s="11">
        <v>23.99</v>
      </c>
      <c r="E353" s="11">
        <f t="shared" si="18"/>
        <v>23.994906621392193</v>
      </c>
      <c r="F353" s="11">
        <v>23.99</v>
      </c>
      <c r="G353" s="11">
        <f t="shared" si="19"/>
        <v>23.994906621392193</v>
      </c>
    </row>
    <row r="354" spans="1:7" x14ac:dyDescent="0.25">
      <c r="A354" s="9">
        <v>42494</v>
      </c>
      <c r="B354" s="5">
        <v>35</v>
      </c>
      <c r="C354" s="12">
        <v>15.99</v>
      </c>
      <c r="D354" s="11">
        <v>45.69</v>
      </c>
      <c r="E354" s="11">
        <f t="shared" si="18"/>
        <v>45.685714285714283</v>
      </c>
      <c r="F354" s="11">
        <v>45.69</v>
      </c>
      <c r="G354" s="11">
        <f t="shared" si="19"/>
        <v>45.685714285714283</v>
      </c>
    </row>
    <row r="355" spans="1:7" x14ac:dyDescent="0.25">
      <c r="A355" s="9">
        <v>42493</v>
      </c>
      <c r="B355" s="5">
        <v>354</v>
      </c>
      <c r="C355" s="12">
        <v>100.01</v>
      </c>
      <c r="D355" s="11">
        <v>28.25</v>
      </c>
      <c r="E355" s="11">
        <f t="shared" si="18"/>
        <v>28.251412429378529</v>
      </c>
      <c r="F355" s="11">
        <v>28.25</v>
      </c>
      <c r="G355" s="11">
        <f t="shared" si="19"/>
        <v>28.251412429378529</v>
      </c>
    </row>
    <row r="356" spans="1:7" x14ac:dyDescent="0.25">
      <c r="A356" s="9">
        <v>42492</v>
      </c>
      <c r="B356" s="5">
        <v>249</v>
      </c>
      <c r="C356" s="12">
        <v>64</v>
      </c>
      <c r="D356" s="11">
        <v>25.7</v>
      </c>
      <c r="E356" s="11">
        <f t="shared" si="18"/>
        <v>25.702811244979916</v>
      </c>
      <c r="F356" s="11">
        <v>25.7</v>
      </c>
      <c r="G356" s="11">
        <f t="shared" si="19"/>
        <v>25.702811244979916</v>
      </c>
    </row>
    <row r="357" spans="1:7" x14ac:dyDescent="0.25">
      <c r="A357" s="9">
        <v>42488</v>
      </c>
      <c r="B357" s="5">
        <v>523</v>
      </c>
      <c r="C357" s="12">
        <v>145</v>
      </c>
      <c r="D357" s="11">
        <v>27.72</v>
      </c>
      <c r="E357" s="11">
        <f t="shared" si="18"/>
        <v>27.724665391969406</v>
      </c>
      <c r="F357" s="11">
        <v>27.72</v>
      </c>
      <c r="G357" s="11">
        <f t="shared" si="19"/>
        <v>27.724665391969406</v>
      </c>
    </row>
    <row r="358" spans="1:7" x14ac:dyDescent="0.25">
      <c r="A358" s="9">
        <v>42485</v>
      </c>
      <c r="B358" s="5">
        <v>584</v>
      </c>
      <c r="C358" s="12">
        <v>150.16</v>
      </c>
      <c r="D358" s="11">
        <v>25.71</v>
      </c>
      <c r="E358" s="11">
        <f t="shared" si="18"/>
        <v>25.712328767123289</v>
      </c>
      <c r="F358" s="11">
        <v>25.71</v>
      </c>
      <c r="G358" s="11">
        <f t="shared" si="19"/>
        <v>25.712328767123289</v>
      </c>
    </row>
    <row r="359" spans="1:7" x14ac:dyDescent="0.25">
      <c r="A359" s="9">
        <v>42481</v>
      </c>
      <c r="B359" s="5">
        <v>513</v>
      </c>
      <c r="C359" s="12">
        <v>133</v>
      </c>
      <c r="D359" s="11">
        <v>25.93</v>
      </c>
      <c r="E359" s="11">
        <f t="shared" si="18"/>
        <v>25.925925925925924</v>
      </c>
      <c r="F359" s="11">
        <v>25.93</v>
      </c>
      <c r="G359" s="11">
        <f t="shared" si="19"/>
        <v>25.925925925925924</v>
      </c>
    </row>
    <row r="360" spans="1:7" x14ac:dyDescent="0.25">
      <c r="A360" s="9">
        <v>42478</v>
      </c>
      <c r="B360" s="5">
        <v>592</v>
      </c>
      <c r="C360" s="12">
        <v>143.18</v>
      </c>
      <c r="D360" s="11">
        <v>24.19</v>
      </c>
      <c r="E360" s="11">
        <f t="shared" si="18"/>
        <v>24.185810810810811</v>
      </c>
      <c r="F360" s="11">
        <v>24.19</v>
      </c>
      <c r="G360" s="11">
        <f t="shared" si="19"/>
        <v>24.185810810810811</v>
      </c>
    </row>
    <row r="361" spans="1:7" x14ac:dyDescent="0.25">
      <c r="A361" s="9">
        <v>42474</v>
      </c>
      <c r="B361" s="5">
        <v>513</v>
      </c>
      <c r="C361" s="12">
        <v>136.84</v>
      </c>
      <c r="D361" s="11">
        <v>26.67</v>
      </c>
      <c r="E361" s="11">
        <f t="shared" si="18"/>
        <v>26.674463937621834</v>
      </c>
      <c r="F361" s="11">
        <v>26.67</v>
      </c>
      <c r="G361" s="11">
        <f t="shared" si="19"/>
        <v>26.674463937621834</v>
      </c>
    </row>
    <row r="362" spans="1:7" x14ac:dyDescent="0.25">
      <c r="A362" s="9">
        <v>42471</v>
      </c>
      <c r="B362" s="5">
        <v>570</v>
      </c>
      <c r="C362" s="12">
        <v>141.81</v>
      </c>
      <c r="D362" s="11">
        <v>24.88</v>
      </c>
      <c r="E362" s="11">
        <f t="shared" si="18"/>
        <v>24.878947368421052</v>
      </c>
      <c r="F362" s="11">
        <v>24.88</v>
      </c>
      <c r="G362" s="11">
        <f t="shared" si="19"/>
        <v>24.878947368421052</v>
      </c>
    </row>
    <row r="363" spans="1:7" x14ac:dyDescent="0.25">
      <c r="A363" s="9">
        <v>42467</v>
      </c>
      <c r="B363" s="5">
        <v>501</v>
      </c>
      <c r="C363" s="12">
        <v>133.25</v>
      </c>
      <c r="D363" s="11">
        <v>26.6</v>
      </c>
      <c r="E363" s="11">
        <f t="shared" si="18"/>
        <v>26.596806387225548</v>
      </c>
      <c r="F363" s="11">
        <v>26.6</v>
      </c>
      <c r="G363" s="11">
        <f t="shared" si="19"/>
        <v>26.596806387225548</v>
      </c>
    </row>
    <row r="364" spans="1:7" x14ac:dyDescent="0.25">
      <c r="A364" s="9">
        <v>42464</v>
      </c>
      <c r="B364" s="5">
        <v>584</v>
      </c>
      <c r="C364" s="12">
        <v>137.4</v>
      </c>
      <c r="D364" s="11">
        <v>23.53</v>
      </c>
      <c r="E364" s="11">
        <f t="shared" si="18"/>
        <v>23.527397260273975</v>
      </c>
      <c r="F364" s="11">
        <v>23.53</v>
      </c>
      <c r="G364" s="11">
        <f t="shared" si="19"/>
        <v>23.527397260273975</v>
      </c>
    </row>
    <row r="365" spans="1:7" x14ac:dyDescent="0.25">
      <c r="A365" s="9">
        <v>42460</v>
      </c>
      <c r="B365" s="5">
        <v>525</v>
      </c>
      <c r="C365" s="12">
        <v>133.36000000000001</v>
      </c>
      <c r="D365" s="11">
        <v>25.4</v>
      </c>
      <c r="E365" s="11">
        <f t="shared" si="18"/>
        <v>25.401904761904763</v>
      </c>
      <c r="F365" s="11">
        <v>25.4</v>
      </c>
      <c r="G365" s="11">
        <f t="shared" si="19"/>
        <v>25.401904761904763</v>
      </c>
    </row>
    <row r="366" spans="1:7" x14ac:dyDescent="0.25">
      <c r="A366" s="9">
        <v>42453</v>
      </c>
      <c r="B366" s="5">
        <v>623</v>
      </c>
      <c r="C366" s="12">
        <v>154.75</v>
      </c>
      <c r="D366" s="11">
        <v>24.84</v>
      </c>
      <c r="E366" s="11">
        <f t="shared" si="18"/>
        <v>24.839486356340291</v>
      </c>
      <c r="F366" s="11">
        <v>24.84</v>
      </c>
      <c r="G366" s="11">
        <f t="shared" si="19"/>
        <v>24.839486356340291</v>
      </c>
    </row>
    <row r="367" spans="1:7" x14ac:dyDescent="0.25">
      <c r="A367" s="9">
        <v>42450</v>
      </c>
      <c r="B367" s="5">
        <v>587</v>
      </c>
      <c r="C367" s="12">
        <v>143.24</v>
      </c>
      <c r="D367" s="11">
        <v>24.4</v>
      </c>
      <c r="E367" s="11">
        <f t="shared" si="18"/>
        <v>24.402044293015337</v>
      </c>
      <c r="F367" s="11">
        <v>24.4</v>
      </c>
      <c r="G367" s="11">
        <f t="shared" si="19"/>
        <v>24.402044293015337</v>
      </c>
    </row>
    <row r="368" spans="1:7" x14ac:dyDescent="0.25">
      <c r="A368" s="9">
        <v>42446</v>
      </c>
      <c r="B368" s="5">
        <v>508</v>
      </c>
      <c r="C368" s="12">
        <v>152.41999999999999</v>
      </c>
      <c r="D368" s="11">
        <v>30</v>
      </c>
      <c r="E368" s="11">
        <f t="shared" si="18"/>
        <v>30.003937007874015</v>
      </c>
      <c r="F368" s="11">
        <v>30</v>
      </c>
      <c r="G368" s="11">
        <f t="shared" si="19"/>
        <v>30.003937007874015</v>
      </c>
    </row>
    <row r="369" spans="1:7" x14ac:dyDescent="0.25">
      <c r="A369" s="9">
        <v>42443</v>
      </c>
      <c r="B369" s="5">
        <v>582</v>
      </c>
      <c r="C369" s="12">
        <v>150.91999999999999</v>
      </c>
      <c r="D369" s="11">
        <v>25.93</v>
      </c>
      <c r="E369" s="11">
        <f t="shared" si="18"/>
        <v>25.931271477663227</v>
      </c>
      <c r="F369" s="11">
        <v>25.93</v>
      </c>
      <c r="G369" s="11">
        <f t="shared" si="19"/>
        <v>25.931271477663227</v>
      </c>
    </row>
    <row r="370" spans="1:7" x14ac:dyDescent="0.25">
      <c r="A370" s="9">
        <v>42439</v>
      </c>
      <c r="B370" s="5">
        <v>30</v>
      </c>
      <c r="C370" s="12">
        <v>19.5</v>
      </c>
      <c r="D370" s="11">
        <v>65</v>
      </c>
      <c r="E370" s="11">
        <f t="shared" si="18"/>
        <v>65</v>
      </c>
      <c r="F370" s="11">
        <v>65</v>
      </c>
      <c r="G370" s="11">
        <f t="shared" si="19"/>
        <v>65</v>
      </c>
    </row>
    <row r="371" spans="1:7" x14ac:dyDescent="0.25">
      <c r="A371" s="9">
        <v>42438</v>
      </c>
      <c r="B371" s="5">
        <v>218</v>
      </c>
      <c r="C371" s="12">
        <v>70</v>
      </c>
      <c r="D371" s="11">
        <v>32.11</v>
      </c>
      <c r="E371" s="11">
        <f t="shared" si="18"/>
        <v>32.11009174311927</v>
      </c>
      <c r="F371" s="11">
        <v>32.11</v>
      </c>
      <c r="G371" s="11">
        <f t="shared" si="19"/>
        <v>32.11009174311927</v>
      </c>
    </row>
    <row r="372" spans="1:7" x14ac:dyDescent="0.25">
      <c r="A372" s="9">
        <v>42437</v>
      </c>
      <c r="B372" s="5">
        <v>339</v>
      </c>
      <c r="C372" s="12">
        <v>68</v>
      </c>
      <c r="D372" s="11">
        <v>20.059999999999999</v>
      </c>
      <c r="E372" s="11">
        <f t="shared" si="18"/>
        <v>20.058997050147493</v>
      </c>
      <c r="F372" s="11">
        <v>20.059999999999999</v>
      </c>
      <c r="G372" s="11">
        <f t="shared" si="19"/>
        <v>20.058997050147493</v>
      </c>
    </row>
    <row r="373" spans="1:7" x14ac:dyDescent="0.25">
      <c r="A373" s="9">
        <v>42436</v>
      </c>
      <c r="B373" s="5">
        <v>278</v>
      </c>
      <c r="C373" s="12">
        <v>69</v>
      </c>
      <c r="D373" s="11">
        <v>24.82</v>
      </c>
      <c r="E373" s="11">
        <f t="shared" si="18"/>
        <v>24.820143884892087</v>
      </c>
      <c r="F373" s="11">
        <v>24.82</v>
      </c>
      <c r="G373" s="11">
        <f t="shared" si="19"/>
        <v>24.820143884892087</v>
      </c>
    </row>
    <row r="374" spans="1:7" x14ac:dyDescent="0.25">
      <c r="A374" s="9">
        <v>42433</v>
      </c>
      <c r="B374" s="5">
        <v>269</v>
      </c>
      <c r="C374" s="12">
        <v>71.599999999999994</v>
      </c>
      <c r="D374" s="11">
        <v>26.62</v>
      </c>
      <c r="E374" s="11">
        <f t="shared" si="18"/>
        <v>26.61710037174721</v>
      </c>
      <c r="F374" s="11">
        <v>26.62</v>
      </c>
      <c r="G374" s="11">
        <f t="shared" si="19"/>
        <v>26.61710037174721</v>
      </c>
    </row>
    <row r="375" spans="1:7" x14ac:dyDescent="0.25">
      <c r="A375" s="9">
        <v>42432</v>
      </c>
      <c r="B375" s="5">
        <v>241</v>
      </c>
      <c r="C375" s="12">
        <v>65.739999999999995</v>
      </c>
      <c r="D375" s="11">
        <v>27.28</v>
      </c>
      <c r="E375" s="11">
        <f t="shared" si="18"/>
        <v>27.278008298755186</v>
      </c>
      <c r="F375" s="11">
        <v>27.28</v>
      </c>
      <c r="G375" s="11">
        <f t="shared" si="19"/>
        <v>27.278008298755186</v>
      </c>
    </row>
    <row r="376" spans="1:7" x14ac:dyDescent="0.25">
      <c r="A376" s="9">
        <v>42432</v>
      </c>
      <c r="B376" s="5">
        <v>516</v>
      </c>
      <c r="C376" s="12">
        <v>170</v>
      </c>
      <c r="D376" s="11">
        <v>32.950000000000003</v>
      </c>
      <c r="E376" s="11">
        <f t="shared" si="18"/>
        <v>32.945736434108525</v>
      </c>
      <c r="F376" s="11">
        <v>32.950000000000003</v>
      </c>
      <c r="G376" s="11">
        <f t="shared" si="19"/>
        <v>32.945736434108525</v>
      </c>
    </row>
    <row r="377" spans="1:7" x14ac:dyDescent="0.25">
      <c r="A377" s="9">
        <v>42429</v>
      </c>
      <c r="B377" s="5">
        <v>584</v>
      </c>
      <c r="C377" s="12">
        <v>151</v>
      </c>
      <c r="D377" s="11">
        <v>25.86</v>
      </c>
      <c r="E377" s="11">
        <f t="shared" si="18"/>
        <v>25.856164383561641</v>
      </c>
      <c r="F377" s="11">
        <v>25.86</v>
      </c>
      <c r="G377" s="11">
        <f t="shared" si="19"/>
        <v>25.856164383561641</v>
      </c>
    </row>
    <row r="378" spans="1:7" x14ac:dyDescent="0.25">
      <c r="A378" s="9">
        <v>42425</v>
      </c>
      <c r="B378" s="5">
        <v>506</v>
      </c>
      <c r="C378" s="12">
        <v>145.80000000000001</v>
      </c>
      <c r="D378" s="11">
        <v>28.81</v>
      </c>
      <c r="E378" s="11">
        <f t="shared" si="18"/>
        <v>28.814229249011859</v>
      </c>
      <c r="F378" s="11">
        <v>28.81</v>
      </c>
      <c r="G378" s="11">
        <f t="shared" si="19"/>
        <v>28.814229249011859</v>
      </c>
    </row>
    <row r="379" spans="1:7" x14ac:dyDescent="0.25">
      <c r="A379" s="9">
        <v>42422</v>
      </c>
      <c r="B379" s="5">
        <v>593</v>
      </c>
      <c r="C379" s="12">
        <v>149.01</v>
      </c>
      <c r="D379" s="11">
        <v>25.13</v>
      </c>
      <c r="E379" s="11">
        <f t="shared" si="18"/>
        <v>25.128161888701516</v>
      </c>
      <c r="F379" s="11">
        <v>25.13</v>
      </c>
      <c r="G379" s="11">
        <f t="shared" si="19"/>
        <v>25.128161888701516</v>
      </c>
    </row>
    <row r="380" spans="1:7" x14ac:dyDescent="0.25">
      <c r="A380" s="9">
        <v>42418</v>
      </c>
      <c r="B380" s="5">
        <v>820</v>
      </c>
      <c r="C380" s="12">
        <v>217.5</v>
      </c>
      <c r="D380" s="11">
        <v>26.52</v>
      </c>
      <c r="E380" s="11">
        <f t="shared" si="18"/>
        <v>26.524390243902442</v>
      </c>
      <c r="F380" s="11">
        <v>26.52</v>
      </c>
      <c r="G380" s="11">
        <f t="shared" si="19"/>
        <v>26.524390243902442</v>
      </c>
    </row>
    <row r="381" spans="1:7" x14ac:dyDescent="0.25">
      <c r="A381" s="9">
        <v>42415</v>
      </c>
      <c r="B381" s="5">
        <v>403</v>
      </c>
      <c r="C381" s="12">
        <v>125</v>
      </c>
      <c r="D381" s="11">
        <v>31.02</v>
      </c>
      <c r="E381" s="11">
        <f t="shared" si="18"/>
        <v>31.017369727047146</v>
      </c>
      <c r="F381" s="11">
        <v>31.02</v>
      </c>
      <c r="G381" s="11">
        <f t="shared" si="19"/>
        <v>31.017369727047146</v>
      </c>
    </row>
    <row r="382" spans="1:7" x14ac:dyDescent="0.25">
      <c r="A382" s="9">
        <v>42410</v>
      </c>
      <c r="B382" s="5">
        <v>577</v>
      </c>
      <c r="C382" s="12">
        <v>158</v>
      </c>
      <c r="D382" s="11">
        <v>27.38</v>
      </c>
      <c r="E382" s="11">
        <f t="shared" si="18"/>
        <v>27.383015597920281</v>
      </c>
      <c r="F382" s="11">
        <v>27.38</v>
      </c>
      <c r="G382" s="11">
        <f t="shared" si="19"/>
        <v>27.383015597920281</v>
      </c>
    </row>
    <row r="383" spans="1:7" x14ac:dyDescent="0.25">
      <c r="A383" s="9">
        <v>42408</v>
      </c>
      <c r="B383" s="5">
        <v>491</v>
      </c>
      <c r="C383" s="12">
        <v>127</v>
      </c>
      <c r="D383" s="11">
        <v>25.87</v>
      </c>
      <c r="E383" s="11">
        <f t="shared" si="18"/>
        <v>25.865580448065174</v>
      </c>
      <c r="F383" s="11">
        <v>25.87</v>
      </c>
      <c r="G383" s="11">
        <f t="shared" si="19"/>
        <v>25.865580448065174</v>
      </c>
    </row>
    <row r="384" spans="1:7" x14ac:dyDescent="0.25">
      <c r="A384" s="9">
        <v>42404</v>
      </c>
      <c r="B384" s="5">
        <v>533</v>
      </c>
      <c r="C384" s="12">
        <v>152</v>
      </c>
      <c r="D384" s="11">
        <v>28.52</v>
      </c>
      <c r="E384" s="11">
        <f t="shared" si="18"/>
        <v>28.517823639774857</v>
      </c>
      <c r="F384" s="11">
        <v>28.52</v>
      </c>
      <c r="G384" s="11">
        <f t="shared" si="19"/>
        <v>28.517823639774857</v>
      </c>
    </row>
    <row r="385" spans="1:7" x14ac:dyDescent="0.25">
      <c r="A385" s="9">
        <v>42401</v>
      </c>
      <c r="B385" s="5">
        <v>628</v>
      </c>
      <c r="C385" s="12">
        <v>153.01</v>
      </c>
      <c r="D385" s="11">
        <v>24.36</v>
      </c>
      <c r="E385" s="11">
        <f t="shared" si="18"/>
        <v>24.364649681528661</v>
      </c>
      <c r="F385" s="11">
        <v>24.36</v>
      </c>
      <c r="G385" s="11">
        <f t="shared" si="19"/>
        <v>24.364649681528661</v>
      </c>
    </row>
    <row r="386" spans="1:7" x14ac:dyDescent="0.25">
      <c r="A386" s="9">
        <v>42397</v>
      </c>
      <c r="B386" s="5">
        <v>533</v>
      </c>
      <c r="C386" s="12">
        <v>149.01</v>
      </c>
      <c r="D386" s="11">
        <v>27.96</v>
      </c>
      <c r="E386" s="11">
        <f t="shared" ref="E386:E396" si="20">C386/B386*100</f>
        <v>27.956848030018762</v>
      </c>
      <c r="F386" s="11">
        <v>27.96</v>
      </c>
      <c r="G386" s="11">
        <f t="shared" si="19"/>
        <v>27.956848030018762</v>
      </c>
    </row>
    <row r="387" spans="1:7" x14ac:dyDescent="0.25">
      <c r="A387" s="9">
        <v>42394</v>
      </c>
      <c r="B387" s="5">
        <v>645</v>
      </c>
      <c r="C387" s="12">
        <v>184</v>
      </c>
      <c r="D387" s="11">
        <v>28.53</v>
      </c>
      <c r="E387" s="11">
        <f t="shared" si="20"/>
        <v>28.527131782945737</v>
      </c>
      <c r="F387" s="11">
        <v>28.53</v>
      </c>
      <c r="G387" s="11">
        <f t="shared" ref="G387:G396" si="21">C387/B387*100</f>
        <v>28.527131782945737</v>
      </c>
    </row>
    <row r="388" spans="1:7" x14ac:dyDescent="0.25">
      <c r="A388" s="9">
        <v>42390</v>
      </c>
      <c r="B388" s="5">
        <v>591</v>
      </c>
      <c r="C388" s="12">
        <v>187</v>
      </c>
      <c r="D388" s="11">
        <v>31.64</v>
      </c>
      <c r="E388" s="11">
        <f t="shared" si="20"/>
        <v>31.641285956006769</v>
      </c>
      <c r="F388" s="11">
        <v>31.64</v>
      </c>
      <c r="G388" s="11">
        <f t="shared" si="21"/>
        <v>31.641285956006769</v>
      </c>
    </row>
    <row r="389" spans="1:7" x14ac:dyDescent="0.25">
      <c r="A389" s="9">
        <v>42387</v>
      </c>
      <c r="B389" s="5">
        <v>609</v>
      </c>
      <c r="C389" s="12">
        <v>169.01</v>
      </c>
      <c r="D389" s="11">
        <v>27.75</v>
      </c>
      <c r="E389" s="11">
        <f t="shared" si="20"/>
        <v>27.752052545155991</v>
      </c>
      <c r="F389" s="11">
        <v>27.75</v>
      </c>
      <c r="G389" s="11">
        <f t="shared" si="21"/>
        <v>27.752052545155991</v>
      </c>
    </row>
    <row r="390" spans="1:7" x14ac:dyDescent="0.25">
      <c r="A390" s="9">
        <v>42383</v>
      </c>
      <c r="B390" s="5">
        <v>315</v>
      </c>
      <c r="C390" s="12">
        <v>97.15</v>
      </c>
      <c r="D390" s="11">
        <v>30.84</v>
      </c>
      <c r="E390" s="11">
        <f t="shared" si="20"/>
        <v>30.841269841269842</v>
      </c>
      <c r="F390" s="11">
        <v>30.84</v>
      </c>
      <c r="G390" s="11">
        <f t="shared" si="21"/>
        <v>30.841269841269842</v>
      </c>
    </row>
    <row r="391" spans="1:7" x14ac:dyDescent="0.25">
      <c r="A391" s="9">
        <v>42381</v>
      </c>
      <c r="B391" s="5">
        <v>712</v>
      </c>
      <c r="C391" s="12">
        <v>183</v>
      </c>
      <c r="D391" s="11">
        <v>25.7</v>
      </c>
      <c r="E391" s="11">
        <f t="shared" si="20"/>
        <v>25.702247191011235</v>
      </c>
      <c r="F391" s="11">
        <v>25.7</v>
      </c>
      <c r="G391" s="11">
        <f t="shared" si="21"/>
        <v>25.702247191011235</v>
      </c>
    </row>
    <row r="392" spans="1:7" x14ac:dyDescent="0.25">
      <c r="A392" s="9">
        <v>42376</v>
      </c>
      <c r="B392" s="5">
        <v>664</v>
      </c>
      <c r="C392" s="12">
        <v>183.01</v>
      </c>
      <c r="D392" s="11">
        <v>27.56</v>
      </c>
      <c r="E392" s="11">
        <f t="shared" si="20"/>
        <v>27.561746987951807</v>
      </c>
      <c r="F392" s="11">
        <v>27.56</v>
      </c>
      <c r="G392" s="11">
        <f t="shared" si="21"/>
        <v>27.561746987951807</v>
      </c>
    </row>
    <row r="393" spans="1:7" x14ac:dyDescent="0.25">
      <c r="A393" s="9">
        <v>42368</v>
      </c>
      <c r="B393" s="5">
        <v>800</v>
      </c>
      <c r="C393" s="12">
        <v>197.01</v>
      </c>
      <c r="D393" s="11">
        <v>24.63</v>
      </c>
      <c r="E393" s="11">
        <f t="shared" si="20"/>
        <v>24.626249999999999</v>
      </c>
      <c r="F393" s="11">
        <v>24.63</v>
      </c>
      <c r="G393" s="11">
        <f t="shared" si="21"/>
        <v>24.626249999999999</v>
      </c>
    </row>
    <row r="394" spans="1:7" x14ac:dyDescent="0.25">
      <c r="A394" s="9">
        <v>42361</v>
      </c>
      <c r="B394" s="5">
        <v>692</v>
      </c>
      <c r="C394" s="12">
        <v>190</v>
      </c>
      <c r="D394" s="11">
        <v>27.46</v>
      </c>
      <c r="E394" s="11">
        <f t="shared" si="20"/>
        <v>27.456647398843931</v>
      </c>
      <c r="F394" s="11">
        <v>27.46</v>
      </c>
      <c r="G394" s="11">
        <f t="shared" si="21"/>
        <v>27.456647398843931</v>
      </c>
    </row>
    <row r="395" spans="1:7" x14ac:dyDescent="0.25">
      <c r="A395" s="9">
        <v>42356</v>
      </c>
      <c r="B395" s="5">
        <v>463</v>
      </c>
      <c r="C395" s="12">
        <v>122</v>
      </c>
      <c r="D395" s="11">
        <v>26.35</v>
      </c>
      <c r="E395" s="11">
        <f t="shared" si="20"/>
        <v>26.349892008639308</v>
      </c>
      <c r="F395" s="11">
        <v>26.35</v>
      </c>
      <c r="G395" s="11">
        <f t="shared" si="21"/>
        <v>26.349892008639308</v>
      </c>
    </row>
    <row r="396" spans="1:7" x14ac:dyDescent="0.25">
      <c r="A396" s="9">
        <v>42354</v>
      </c>
      <c r="B396" s="5">
        <v>595</v>
      </c>
      <c r="C396" s="12">
        <v>168</v>
      </c>
      <c r="D396" s="11">
        <v>28.24</v>
      </c>
      <c r="E396" s="11">
        <f t="shared" si="20"/>
        <v>28.235294117647058</v>
      </c>
      <c r="F396" s="11">
        <v>28.24</v>
      </c>
      <c r="G396" s="11">
        <f t="shared" si="21"/>
        <v>28.235294117647058</v>
      </c>
    </row>
    <row r="398" spans="1:7" x14ac:dyDescent="0.25">
      <c r="A398" s="18" t="s">
        <v>28</v>
      </c>
      <c r="B398" s="18"/>
      <c r="D398" s="18" t="s">
        <v>20</v>
      </c>
      <c r="E398" s="18"/>
      <c r="F398" s="18"/>
      <c r="G398" s="18"/>
    </row>
    <row r="399" spans="1:7" x14ac:dyDescent="0.25">
      <c r="A399" s="21">
        <f>SUM(B2:B396)</f>
        <v>216737</v>
      </c>
      <c r="B399" s="21"/>
      <c r="D399" s="11">
        <f>AVERAGE(D2:D396)</f>
        <v>27.883645569620231</v>
      </c>
      <c r="E399" s="11">
        <f>AVERAGE(E2:E396)</f>
        <v>27.883805554271913</v>
      </c>
      <c r="F399" s="11">
        <f>AVERAGE(F2:F396)</f>
        <v>27.381782945736418</v>
      </c>
      <c r="G399" s="11">
        <f>AVERAGE(G2:G396)</f>
        <v>27.381977777424765</v>
      </c>
    </row>
    <row r="400" spans="1:7" x14ac:dyDescent="0.25">
      <c r="A400" s="18" t="s">
        <v>27</v>
      </c>
      <c r="B400" s="18"/>
      <c r="D400" s="18" t="s">
        <v>21</v>
      </c>
      <c r="E400" s="18"/>
      <c r="F400" s="18"/>
      <c r="G400" s="18"/>
    </row>
    <row r="401" spans="1:7" x14ac:dyDescent="0.25">
      <c r="A401" s="21">
        <f>SUM(B323:B396)+SUM(B270:B321)+SUM(B245:B268)+SUM(B213:B243)+SUM(B139:B210)+SUM(B37:B137)+SUM(B2:B34)</f>
        <v>212142</v>
      </c>
      <c r="B401" s="21"/>
      <c r="D401" s="11">
        <f>MEDIAN(D2:D396)</f>
        <v>26.72</v>
      </c>
      <c r="E401" s="11">
        <f>MEDIAN(E2:E396)</f>
        <v>26.72407732864675</v>
      </c>
      <c r="F401" s="11">
        <f>MEDIAN(F2:F396)</f>
        <v>26.72</v>
      </c>
      <c r="G401" s="11">
        <f>MEDIAN(G2:G396)</f>
        <v>26.72407732864675</v>
      </c>
    </row>
    <row r="402" spans="1:7" x14ac:dyDescent="0.25">
      <c r="D402" s="18" t="s">
        <v>26</v>
      </c>
      <c r="E402" s="18"/>
      <c r="F402" s="18"/>
      <c r="G402" s="18"/>
    </row>
    <row r="403" spans="1:7" x14ac:dyDescent="0.25">
      <c r="D403" s="11">
        <f>MIN(D2:D396)</f>
        <v>5.72</v>
      </c>
      <c r="E403" s="11">
        <f>MIN(E2:E396)</f>
        <v>5.7211538461538467</v>
      </c>
      <c r="F403" s="11">
        <f>MIN(F2:F396)</f>
        <v>20.059999999999999</v>
      </c>
      <c r="G403" s="11">
        <f>MIN(G2:G396)</f>
        <v>20.058997050147493</v>
      </c>
    </row>
    <row r="404" spans="1:7" x14ac:dyDescent="0.25">
      <c r="D404" s="18" t="s">
        <v>30</v>
      </c>
      <c r="E404" s="18"/>
      <c r="F404" s="18"/>
      <c r="G404" s="18"/>
    </row>
    <row r="405" spans="1:7" x14ac:dyDescent="0.25">
      <c r="D405" s="11">
        <f>MAX(D2:D396)</f>
        <v>106.65</v>
      </c>
      <c r="E405" s="11">
        <f>MAX(E2:E396)</f>
        <v>106.6451612903226</v>
      </c>
      <c r="F405" s="11">
        <f>MAX(F2:F396)</f>
        <v>65</v>
      </c>
      <c r="G405" s="11">
        <f>MAX(G2:G396)</f>
        <v>65</v>
      </c>
    </row>
    <row r="557" spans="1:1" x14ac:dyDescent="0.25">
      <c r="A557" s="8"/>
    </row>
    <row r="558" spans="1:1" x14ac:dyDescent="0.25">
      <c r="A558" s="8"/>
    </row>
    <row r="559" spans="1:1" x14ac:dyDescent="0.25">
      <c r="A559" s="8"/>
    </row>
  </sheetData>
  <mergeCells count="22">
    <mergeCell ref="R83:R85"/>
    <mergeCell ref="S83:S85"/>
    <mergeCell ref="R43:R45"/>
    <mergeCell ref="S43:S45"/>
    <mergeCell ref="D402:G402"/>
    <mergeCell ref="D404:G404"/>
    <mergeCell ref="A398:B398"/>
    <mergeCell ref="D398:G398"/>
    <mergeCell ref="A399:B399"/>
    <mergeCell ref="A400:B400"/>
    <mergeCell ref="D400:G400"/>
    <mergeCell ref="A401:B401"/>
    <mergeCell ref="H97:H104"/>
    <mergeCell ref="N163:Q163"/>
    <mergeCell ref="N165:Q165"/>
    <mergeCell ref="N167:Q167"/>
    <mergeCell ref="N169:Q169"/>
    <mergeCell ref="K163:L163"/>
    <mergeCell ref="K164:L164"/>
    <mergeCell ref="K165:L165"/>
    <mergeCell ref="K166:L166"/>
    <mergeCell ref="I97:I104"/>
  </mergeCells>
  <conditionalFormatting sqref="D2:D39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39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1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1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2D7B-E6EE-4AB7-8765-5127597F295E}">
  <dimension ref="A1:I219"/>
  <sheetViews>
    <sheetView topLeftCell="A168" workbookViewId="0">
      <selection activeCell="D218" sqref="D218:G218"/>
    </sheetView>
  </sheetViews>
  <sheetFormatPr baseColWidth="10" defaultRowHeight="15" x14ac:dyDescent="0.25"/>
  <cols>
    <col min="2" max="2" width="12.7109375" bestFit="1" customWidth="1"/>
    <col min="4" max="4" width="15.42578125" bestFit="1" customWidth="1"/>
    <col min="5" max="5" width="20.85546875" bestFit="1" customWidth="1"/>
    <col min="6" max="6" width="13" bestFit="1" customWidth="1"/>
    <col min="7" max="7" width="18.7109375" bestFit="1" customWidth="1"/>
    <col min="9" max="9" width="13" bestFit="1" customWidth="1"/>
  </cols>
  <sheetData>
    <row r="1" spans="1:7" ht="30" customHeight="1" x14ac:dyDescent="0.25">
      <c r="A1" s="3" t="s">
        <v>15</v>
      </c>
      <c r="B1" s="3" t="s">
        <v>16</v>
      </c>
      <c r="C1" s="3" t="s">
        <v>17</v>
      </c>
      <c r="D1" s="4" t="s">
        <v>18</v>
      </c>
      <c r="E1" s="4" t="s">
        <v>22</v>
      </c>
      <c r="F1" s="4" t="s">
        <v>19</v>
      </c>
      <c r="G1" s="4" t="s">
        <v>23</v>
      </c>
    </row>
    <row r="2" spans="1:7" x14ac:dyDescent="0.25">
      <c r="A2" s="9">
        <v>46171</v>
      </c>
      <c r="B2" s="5">
        <v>625</v>
      </c>
      <c r="C2" s="12">
        <v>176</v>
      </c>
      <c r="D2" s="11">
        <v>28.16</v>
      </c>
      <c r="E2" s="11">
        <v>28.16</v>
      </c>
      <c r="F2" s="11">
        <f>C2/B2*100</f>
        <v>28.16</v>
      </c>
      <c r="G2" s="11">
        <f>C2/B2*100</f>
        <v>28.16</v>
      </c>
    </row>
    <row r="3" spans="1:7" x14ac:dyDescent="0.25">
      <c r="A3" s="9">
        <v>46168</v>
      </c>
      <c r="B3" s="5">
        <v>630</v>
      </c>
      <c r="C3" s="12">
        <v>175</v>
      </c>
      <c r="D3" s="11">
        <v>27.78</v>
      </c>
      <c r="E3" s="11">
        <v>27.78</v>
      </c>
      <c r="F3" s="11">
        <f t="shared" ref="F3:F66" si="0">C3/B3*100</f>
        <v>27.777777777777779</v>
      </c>
      <c r="G3" s="11">
        <f t="shared" ref="G3:G66" si="1">C3/B3*100</f>
        <v>27.777777777777779</v>
      </c>
    </row>
    <row r="4" spans="1:7" x14ac:dyDescent="0.25">
      <c r="A4" s="9">
        <v>46163</v>
      </c>
      <c r="B4" s="5">
        <v>424</v>
      </c>
      <c r="C4" s="12">
        <v>123</v>
      </c>
      <c r="D4" s="11">
        <v>29.01</v>
      </c>
      <c r="E4" s="11">
        <v>29.01</v>
      </c>
      <c r="F4" s="11">
        <f t="shared" si="0"/>
        <v>29.009433962264154</v>
      </c>
      <c r="G4" s="11">
        <f t="shared" si="1"/>
        <v>29.009433962264154</v>
      </c>
    </row>
    <row r="5" spans="1:7" x14ac:dyDescent="0.25">
      <c r="A5" s="9">
        <v>46161</v>
      </c>
      <c r="B5" s="5">
        <v>624</v>
      </c>
      <c r="C5" s="12">
        <v>169</v>
      </c>
      <c r="D5" s="11">
        <v>27.08</v>
      </c>
      <c r="E5" s="11">
        <v>27.08</v>
      </c>
      <c r="F5" s="11">
        <f t="shared" si="0"/>
        <v>27.083333333333332</v>
      </c>
      <c r="G5" s="11">
        <f t="shared" si="1"/>
        <v>27.083333333333332</v>
      </c>
    </row>
    <row r="6" spans="1:7" x14ac:dyDescent="0.25">
      <c r="A6" s="9">
        <v>46156</v>
      </c>
      <c r="B6" s="5">
        <v>630</v>
      </c>
      <c r="C6" s="12">
        <v>186</v>
      </c>
      <c r="D6" s="11">
        <v>29.52</v>
      </c>
      <c r="E6" s="11">
        <v>29.52</v>
      </c>
      <c r="F6" s="11">
        <f t="shared" si="0"/>
        <v>29.523809523809526</v>
      </c>
      <c r="G6" s="11">
        <f t="shared" si="1"/>
        <v>29.523809523809526</v>
      </c>
    </row>
    <row r="7" spans="1:7" x14ac:dyDescent="0.25">
      <c r="A7" s="9">
        <v>46153</v>
      </c>
      <c r="B7" s="5">
        <v>420</v>
      </c>
      <c r="C7" s="12">
        <v>118</v>
      </c>
      <c r="D7" s="11">
        <v>28.1</v>
      </c>
      <c r="E7" s="11">
        <v>28.1</v>
      </c>
      <c r="F7" s="11">
        <f t="shared" si="0"/>
        <v>28.095238095238095</v>
      </c>
      <c r="G7" s="11">
        <f t="shared" si="1"/>
        <v>28.095238095238095</v>
      </c>
    </row>
    <row r="8" spans="1:7" x14ac:dyDescent="0.25">
      <c r="A8" s="9">
        <v>46149</v>
      </c>
      <c r="B8" s="5">
        <v>733</v>
      </c>
      <c r="C8" s="12">
        <v>208</v>
      </c>
      <c r="D8" s="11">
        <v>28.38</v>
      </c>
      <c r="E8" s="11">
        <v>28.38</v>
      </c>
      <c r="F8" s="11">
        <f t="shared" si="0"/>
        <v>28.376534788540248</v>
      </c>
      <c r="G8" s="11">
        <f t="shared" si="1"/>
        <v>28.376534788540248</v>
      </c>
    </row>
    <row r="9" spans="1:7" x14ac:dyDescent="0.25">
      <c r="A9" s="9">
        <v>46142</v>
      </c>
      <c r="B9" s="5">
        <v>811</v>
      </c>
      <c r="C9" s="12">
        <v>209</v>
      </c>
      <c r="D9" s="11">
        <v>25.77</v>
      </c>
      <c r="E9" s="11">
        <v>25.77</v>
      </c>
      <c r="F9" s="11">
        <f t="shared" si="0"/>
        <v>25.770653514180026</v>
      </c>
      <c r="G9" s="11">
        <f t="shared" si="1"/>
        <v>25.770653514180026</v>
      </c>
    </row>
    <row r="10" spans="1:7" x14ac:dyDescent="0.25">
      <c r="A10" s="9">
        <v>46136</v>
      </c>
      <c r="B10" s="5">
        <v>3870</v>
      </c>
      <c r="C10" s="12">
        <v>897.66</v>
      </c>
      <c r="D10" s="11">
        <v>23.2</v>
      </c>
      <c r="E10" s="11">
        <v>23.2</v>
      </c>
      <c r="F10" s="11">
        <f t="shared" si="0"/>
        <v>23.195348837209302</v>
      </c>
      <c r="G10" s="11">
        <f t="shared" si="1"/>
        <v>23.195348837209302</v>
      </c>
    </row>
    <row r="11" spans="1:7" x14ac:dyDescent="0.25">
      <c r="A11" s="9">
        <v>46108</v>
      </c>
      <c r="B11" s="5">
        <v>428</v>
      </c>
      <c r="C11" s="12">
        <v>128.24</v>
      </c>
      <c r="D11" s="11">
        <v>29.96</v>
      </c>
      <c r="E11" s="11">
        <v>29.96</v>
      </c>
      <c r="F11" s="11">
        <f t="shared" si="0"/>
        <v>29.962616822429911</v>
      </c>
      <c r="G11" s="11">
        <f t="shared" si="1"/>
        <v>29.962616822429911</v>
      </c>
    </row>
    <row r="12" spans="1:7" x14ac:dyDescent="0.25">
      <c r="A12" s="9">
        <v>46106</v>
      </c>
      <c r="B12" s="5">
        <v>610</v>
      </c>
      <c r="C12" s="12">
        <v>166.45</v>
      </c>
      <c r="D12" s="11">
        <v>27.29</v>
      </c>
      <c r="E12" s="11">
        <v>27.29</v>
      </c>
      <c r="F12" s="11">
        <f t="shared" si="0"/>
        <v>27.286885245901637</v>
      </c>
      <c r="G12" s="11">
        <f t="shared" si="1"/>
        <v>27.286885245901637</v>
      </c>
    </row>
    <row r="13" spans="1:7" x14ac:dyDescent="0.25">
      <c r="A13" s="9">
        <v>46101</v>
      </c>
      <c r="B13" s="5">
        <v>631</v>
      </c>
      <c r="C13" s="12">
        <v>182</v>
      </c>
      <c r="D13" s="11">
        <v>28.84</v>
      </c>
      <c r="E13" s="11">
        <v>28.84</v>
      </c>
      <c r="F13" s="11">
        <f t="shared" si="0"/>
        <v>28.843106180665611</v>
      </c>
      <c r="G13" s="11">
        <f t="shared" si="1"/>
        <v>28.843106180665611</v>
      </c>
    </row>
    <row r="14" spans="1:7" x14ac:dyDescent="0.25">
      <c r="A14" s="9">
        <v>46098</v>
      </c>
      <c r="B14" s="5">
        <v>660</v>
      </c>
      <c r="C14" s="12">
        <v>181</v>
      </c>
      <c r="D14" s="11">
        <v>27.42</v>
      </c>
      <c r="E14" s="11">
        <v>27.42</v>
      </c>
      <c r="F14" s="11">
        <f t="shared" si="0"/>
        <v>27.424242424242422</v>
      </c>
      <c r="G14" s="11">
        <f t="shared" si="1"/>
        <v>27.424242424242422</v>
      </c>
    </row>
    <row r="15" spans="1:7" x14ac:dyDescent="0.25">
      <c r="A15" s="9">
        <v>46093</v>
      </c>
      <c r="B15" s="5">
        <v>688</v>
      </c>
      <c r="C15" s="12">
        <v>189</v>
      </c>
      <c r="D15" s="11">
        <v>27.47</v>
      </c>
      <c r="E15" s="11">
        <v>27.47</v>
      </c>
      <c r="F15" s="11">
        <f t="shared" si="0"/>
        <v>27.470930232558139</v>
      </c>
      <c r="G15" s="11">
        <f t="shared" si="1"/>
        <v>27.470930232558139</v>
      </c>
    </row>
    <row r="16" spans="1:7" x14ac:dyDescent="0.25">
      <c r="A16" s="9">
        <v>46090</v>
      </c>
      <c r="B16" s="5">
        <v>633</v>
      </c>
      <c r="C16" s="12">
        <v>178</v>
      </c>
      <c r="D16" s="11">
        <v>28.12</v>
      </c>
      <c r="E16" s="11">
        <v>28.12</v>
      </c>
      <c r="F16" s="11">
        <f t="shared" si="0"/>
        <v>28.120063191153239</v>
      </c>
      <c r="G16" s="11">
        <f t="shared" si="1"/>
        <v>28.120063191153239</v>
      </c>
    </row>
    <row r="17" spans="1:7" x14ac:dyDescent="0.25">
      <c r="A17" s="9">
        <v>46085</v>
      </c>
      <c r="B17" s="5">
        <v>650</v>
      </c>
      <c r="C17" s="12">
        <v>182</v>
      </c>
      <c r="D17" s="11">
        <v>28</v>
      </c>
      <c r="E17" s="11">
        <v>28</v>
      </c>
      <c r="F17" s="11">
        <f t="shared" si="0"/>
        <v>28.000000000000004</v>
      </c>
      <c r="G17" s="11">
        <f t="shared" si="1"/>
        <v>28.000000000000004</v>
      </c>
    </row>
    <row r="18" spans="1:7" x14ac:dyDescent="0.25">
      <c r="A18" s="9">
        <v>46080</v>
      </c>
      <c r="B18" s="5">
        <v>637</v>
      </c>
      <c r="C18" s="12">
        <v>183</v>
      </c>
      <c r="D18" s="11">
        <v>28.73</v>
      </c>
      <c r="E18" s="11">
        <v>28.73</v>
      </c>
      <c r="F18" s="11">
        <f t="shared" si="0"/>
        <v>28.728414442700156</v>
      </c>
      <c r="G18" s="11">
        <f t="shared" si="1"/>
        <v>28.728414442700156</v>
      </c>
    </row>
    <row r="19" spans="1:7" x14ac:dyDescent="0.25">
      <c r="A19" s="9">
        <v>46077</v>
      </c>
      <c r="B19" s="5">
        <v>615</v>
      </c>
      <c r="C19" s="12">
        <v>188</v>
      </c>
      <c r="D19" s="11">
        <v>30.57</v>
      </c>
      <c r="E19" s="11">
        <v>30.57</v>
      </c>
      <c r="F19" s="11">
        <f t="shared" si="0"/>
        <v>30.569105691056908</v>
      </c>
      <c r="G19" s="11">
        <f t="shared" si="1"/>
        <v>30.569105691056908</v>
      </c>
    </row>
    <row r="20" spans="1:7" x14ac:dyDescent="0.25">
      <c r="A20" s="9">
        <v>46072</v>
      </c>
      <c r="B20" s="5">
        <v>625</v>
      </c>
      <c r="C20" s="12">
        <v>183</v>
      </c>
      <c r="D20" s="11">
        <v>29.28</v>
      </c>
      <c r="E20" s="11">
        <v>29.28</v>
      </c>
      <c r="F20" s="11">
        <f t="shared" si="0"/>
        <v>29.28</v>
      </c>
      <c r="G20" s="11">
        <f t="shared" si="1"/>
        <v>29.28</v>
      </c>
    </row>
    <row r="21" spans="1:7" x14ac:dyDescent="0.25">
      <c r="A21" s="9">
        <v>46069</v>
      </c>
      <c r="B21" s="5">
        <v>638</v>
      </c>
      <c r="C21" s="12">
        <v>180</v>
      </c>
      <c r="D21" s="11">
        <v>28.21</v>
      </c>
      <c r="E21" s="11">
        <v>28.21</v>
      </c>
      <c r="F21" s="11">
        <f t="shared" si="0"/>
        <v>28.213166144200624</v>
      </c>
      <c r="G21" s="11">
        <f t="shared" si="1"/>
        <v>28.213166144200624</v>
      </c>
    </row>
    <row r="22" spans="1:7" x14ac:dyDescent="0.25">
      <c r="A22" s="9">
        <v>46064</v>
      </c>
      <c r="B22" s="5">
        <v>636</v>
      </c>
      <c r="C22" s="12">
        <v>182</v>
      </c>
      <c r="D22" s="11">
        <v>28.62</v>
      </c>
      <c r="E22" s="11">
        <v>28.62</v>
      </c>
      <c r="F22" s="11">
        <f t="shared" si="0"/>
        <v>28.616352201257861</v>
      </c>
      <c r="G22" s="11">
        <f t="shared" si="1"/>
        <v>28.616352201257861</v>
      </c>
    </row>
    <row r="23" spans="1:7" x14ac:dyDescent="0.25">
      <c r="A23" s="9">
        <v>46059</v>
      </c>
      <c r="B23" s="5">
        <v>629</v>
      </c>
      <c r="C23" s="12">
        <v>184</v>
      </c>
      <c r="D23" s="11">
        <v>29.25</v>
      </c>
      <c r="E23" s="11">
        <v>29.25</v>
      </c>
      <c r="F23" s="11">
        <f t="shared" si="0"/>
        <v>29.252782193958666</v>
      </c>
      <c r="G23" s="11">
        <f t="shared" si="1"/>
        <v>29.252782193958666</v>
      </c>
    </row>
    <row r="24" spans="1:7" x14ac:dyDescent="0.25">
      <c r="A24" s="9">
        <v>46056</v>
      </c>
      <c r="B24" s="5">
        <v>618</v>
      </c>
      <c r="C24" s="12">
        <v>183</v>
      </c>
      <c r="D24" s="11">
        <v>29.61</v>
      </c>
      <c r="E24" s="11">
        <v>29.61</v>
      </c>
      <c r="F24" s="11">
        <f t="shared" si="0"/>
        <v>29.61165048543689</v>
      </c>
      <c r="G24" s="11">
        <f t="shared" si="1"/>
        <v>29.61165048543689</v>
      </c>
    </row>
    <row r="25" spans="1:7" x14ac:dyDescent="0.25">
      <c r="A25" s="9">
        <v>46051</v>
      </c>
      <c r="B25" s="5">
        <v>613</v>
      </c>
      <c r="C25" s="12">
        <v>183</v>
      </c>
      <c r="D25" s="11">
        <v>29.85</v>
      </c>
      <c r="E25" s="11">
        <v>29.85</v>
      </c>
      <c r="F25" s="11">
        <f t="shared" si="0"/>
        <v>29.853181076672104</v>
      </c>
      <c r="G25" s="11">
        <f t="shared" si="1"/>
        <v>29.853181076672104</v>
      </c>
    </row>
    <row r="26" spans="1:7" x14ac:dyDescent="0.25">
      <c r="A26" s="9">
        <v>46048</v>
      </c>
      <c r="B26" s="5">
        <v>635</v>
      </c>
      <c r="C26" s="12">
        <v>203</v>
      </c>
      <c r="D26" s="11">
        <v>31.97</v>
      </c>
      <c r="E26" s="11">
        <v>31.97</v>
      </c>
      <c r="F26" s="11">
        <f t="shared" si="0"/>
        <v>31.968503937007874</v>
      </c>
      <c r="G26" s="11">
        <f t="shared" si="1"/>
        <v>31.968503937007874</v>
      </c>
    </row>
    <row r="27" spans="1:7" x14ac:dyDescent="0.25">
      <c r="A27" s="9">
        <v>46043</v>
      </c>
      <c r="B27" s="5">
        <v>682</v>
      </c>
      <c r="C27" s="12">
        <v>211</v>
      </c>
      <c r="D27" s="11">
        <v>30.94</v>
      </c>
      <c r="E27" s="11">
        <v>30.94</v>
      </c>
      <c r="F27" s="11">
        <f t="shared" si="0"/>
        <v>30.938416422287389</v>
      </c>
      <c r="G27" s="11">
        <f t="shared" si="1"/>
        <v>30.938416422287389</v>
      </c>
    </row>
    <row r="28" spans="1:7" x14ac:dyDescent="0.25">
      <c r="A28" s="9">
        <v>46038</v>
      </c>
      <c r="B28" s="5">
        <v>425</v>
      </c>
      <c r="C28" s="12">
        <v>140</v>
      </c>
      <c r="D28" s="11">
        <v>32.94</v>
      </c>
      <c r="E28" s="11">
        <v>32.94</v>
      </c>
      <c r="F28" s="11">
        <f t="shared" si="0"/>
        <v>32.941176470588232</v>
      </c>
      <c r="G28" s="11">
        <f t="shared" si="1"/>
        <v>32.941176470588232</v>
      </c>
    </row>
    <row r="29" spans="1:7" x14ac:dyDescent="0.25">
      <c r="A29" s="9">
        <v>46036</v>
      </c>
      <c r="B29" s="5">
        <v>631</v>
      </c>
      <c r="C29" s="12">
        <v>204</v>
      </c>
      <c r="D29" s="11">
        <v>32.33</v>
      </c>
      <c r="E29" s="11">
        <v>32.33</v>
      </c>
      <c r="F29" s="11">
        <f t="shared" si="0"/>
        <v>32.329635499207612</v>
      </c>
      <c r="G29" s="11">
        <f t="shared" si="1"/>
        <v>32.329635499207612</v>
      </c>
    </row>
    <row r="30" spans="1:7" x14ac:dyDescent="0.25">
      <c r="A30" s="9">
        <v>46031</v>
      </c>
      <c r="B30" s="5">
        <v>632</v>
      </c>
      <c r="C30" s="12">
        <v>209</v>
      </c>
      <c r="D30" s="11">
        <v>33.07</v>
      </c>
      <c r="E30" s="11">
        <v>33.07</v>
      </c>
      <c r="F30" s="11">
        <f t="shared" si="0"/>
        <v>33.069620253164558</v>
      </c>
      <c r="G30" s="11">
        <f t="shared" si="1"/>
        <v>33.069620253164558</v>
      </c>
    </row>
    <row r="31" spans="1:7" x14ac:dyDescent="0.25">
      <c r="A31" s="9">
        <v>46028</v>
      </c>
      <c r="B31" s="5">
        <v>681</v>
      </c>
      <c r="C31" s="12">
        <v>202</v>
      </c>
      <c r="D31" s="11">
        <v>29.66</v>
      </c>
      <c r="E31" s="11">
        <v>29.66</v>
      </c>
      <c r="F31" s="11">
        <f t="shared" si="0"/>
        <v>29.662261380323052</v>
      </c>
      <c r="G31" s="11">
        <f t="shared" si="1"/>
        <v>29.662261380323052</v>
      </c>
    </row>
    <row r="32" spans="1:7" x14ac:dyDescent="0.25">
      <c r="A32" s="9">
        <v>46021</v>
      </c>
      <c r="B32" s="5">
        <v>479</v>
      </c>
      <c r="C32" s="12">
        <v>143</v>
      </c>
      <c r="D32" s="11">
        <v>29.85</v>
      </c>
      <c r="E32" s="11">
        <v>29.85</v>
      </c>
      <c r="F32" s="11">
        <f t="shared" si="0"/>
        <v>29.853862212943632</v>
      </c>
      <c r="G32" s="11">
        <f t="shared" si="1"/>
        <v>29.853862212943632</v>
      </c>
    </row>
    <row r="33" spans="1:9" x14ac:dyDescent="0.25">
      <c r="A33" s="9">
        <v>46015</v>
      </c>
      <c r="B33" s="5">
        <v>626</v>
      </c>
      <c r="C33" s="12">
        <v>186</v>
      </c>
      <c r="D33" s="11">
        <v>29.71</v>
      </c>
      <c r="E33" s="11">
        <v>29.71</v>
      </c>
      <c r="F33" s="11">
        <f t="shared" si="0"/>
        <v>29.712460063897762</v>
      </c>
      <c r="G33" s="11">
        <f t="shared" si="1"/>
        <v>29.712460063897762</v>
      </c>
    </row>
    <row r="34" spans="1:9" x14ac:dyDescent="0.25">
      <c r="A34" s="9">
        <v>46010</v>
      </c>
      <c r="B34" s="5">
        <v>627</v>
      </c>
      <c r="C34" s="12">
        <v>187</v>
      </c>
      <c r="D34" s="11">
        <v>29.82</v>
      </c>
      <c r="E34" s="11">
        <v>29.82</v>
      </c>
      <c r="F34" s="11">
        <f t="shared" si="0"/>
        <v>29.82456140350877</v>
      </c>
      <c r="G34" s="11">
        <f t="shared" si="1"/>
        <v>29.82456140350877</v>
      </c>
    </row>
    <row r="35" spans="1:9" x14ac:dyDescent="0.25">
      <c r="A35" s="9">
        <v>46007</v>
      </c>
      <c r="B35" s="5">
        <v>627</v>
      </c>
      <c r="C35" s="12">
        <v>184</v>
      </c>
      <c r="D35" s="11">
        <v>29.35</v>
      </c>
      <c r="E35" s="11">
        <v>29.35</v>
      </c>
      <c r="F35" s="11">
        <f t="shared" si="0"/>
        <v>29.346092503987244</v>
      </c>
      <c r="G35" s="11">
        <f t="shared" si="1"/>
        <v>29.346092503987244</v>
      </c>
    </row>
    <row r="36" spans="1:9" x14ac:dyDescent="0.25">
      <c r="A36" s="9">
        <v>46002</v>
      </c>
      <c r="B36" s="5">
        <v>843</v>
      </c>
      <c r="C36" s="12">
        <v>241</v>
      </c>
      <c r="D36" s="11">
        <v>28.59</v>
      </c>
      <c r="E36" s="11">
        <v>28.59</v>
      </c>
      <c r="F36" s="11">
        <f t="shared" si="0"/>
        <v>28.588374851720051</v>
      </c>
      <c r="G36" s="11">
        <f t="shared" si="1"/>
        <v>28.588374851720051</v>
      </c>
    </row>
    <row r="37" spans="1:9" x14ac:dyDescent="0.25">
      <c r="A37" s="9">
        <v>45996</v>
      </c>
      <c r="B37" s="5">
        <v>681</v>
      </c>
      <c r="C37" s="12">
        <v>202</v>
      </c>
      <c r="D37" s="11">
        <v>29.66</v>
      </c>
      <c r="E37" s="11">
        <v>29.66</v>
      </c>
      <c r="F37" s="11">
        <f t="shared" si="0"/>
        <v>29.662261380323052</v>
      </c>
      <c r="G37" s="11">
        <f t="shared" si="1"/>
        <v>29.662261380323052</v>
      </c>
    </row>
    <row r="38" spans="1:9" x14ac:dyDescent="0.25">
      <c r="A38" s="9">
        <v>45993</v>
      </c>
      <c r="B38" s="5">
        <v>800</v>
      </c>
      <c r="C38" s="12">
        <v>234</v>
      </c>
      <c r="D38" s="11">
        <v>29.25</v>
      </c>
      <c r="E38" s="11">
        <v>29.25</v>
      </c>
      <c r="F38" s="11">
        <f t="shared" si="0"/>
        <v>29.25</v>
      </c>
      <c r="G38" s="11">
        <f t="shared" si="1"/>
        <v>29.25</v>
      </c>
    </row>
    <row r="39" spans="1:9" x14ac:dyDescent="0.25">
      <c r="A39" s="9">
        <v>45987</v>
      </c>
      <c r="B39" s="5">
        <v>846</v>
      </c>
      <c r="C39" s="12">
        <v>247</v>
      </c>
      <c r="D39" s="11">
        <v>29.2</v>
      </c>
      <c r="E39" s="11">
        <v>29.2</v>
      </c>
      <c r="F39" s="11">
        <f t="shared" si="0"/>
        <v>29.196217494089833</v>
      </c>
      <c r="G39" s="11">
        <f t="shared" si="1"/>
        <v>29.196217494089833</v>
      </c>
      <c r="H39" s="22">
        <v>45962</v>
      </c>
      <c r="I39" t="s">
        <v>29</v>
      </c>
    </row>
    <row r="40" spans="1:9" x14ac:dyDescent="0.25">
      <c r="A40" s="9">
        <v>45981</v>
      </c>
      <c r="B40" s="5">
        <v>842</v>
      </c>
      <c r="C40" s="12">
        <v>235</v>
      </c>
      <c r="D40" s="11">
        <v>27.91</v>
      </c>
      <c r="E40" s="11">
        <v>27.91</v>
      </c>
      <c r="F40" s="11">
        <f t="shared" si="0"/>
        <v>27.909738717339668</v>
      </c>
      <c r="G40" s="11">
        <f t="shared" si="1"/>
        <v>27.909738717339668</v>
      </c>
      <c r="H40" s="23"/>
      <c r="I40" s="13">
        <f>AVERAGE(E39:E44)</f>
        <v>28.153333333333336</v>
      </c>
    </row>
    <row r="41" spans="1:9" x14ac:dyDescent="0.25">
      <c r="A41" s="9">
        <v>45975</v>
      </c>
      <c r="B41" s="5">
        <v>420</v>
      </c>
      <c r="C41" s="12">
        <v>122</v>
      </c>
      <c r="D41" s="11">
        <v>29.05</v>
      </c>
      <c r="E41" s="11">
        <v>29.05</v>
      </c>
      <c r="F41" s="11">
        <f t="shared" si="0"/>
        <v>29.047619047619051</v>
      </c>
      <c r="G41" s="11">
        <f t="shared" si="1"/>
        <v>29.047619047619051</v>
      </c>
      <c r="H41" s="23"/>
    </row>
    <row r="42" spans="1:9" x14ac:dyDescent="0.25">
      <c r="A42" s="9">
        <v>45973</v>
      </c>
      <c r="B42" s="5">
        <v>844</v>
      </c>
      <c r="C42" s="12">
        <v>241</v>
      </c>
      <c r="D42" s="11">
        <v>28.55</v>
      </c>
      <c r="E42" s="11">
        <v>28.55</v>
      </c>
      <c r="F42" s="11">
        <f t="shared" si="0"/>
        <v>28.554502369668246</v>
      </c>
      <c r="G42" s="11">
        <f t="shared" si="1"/>
        <v>28.554502369668246</v>
      </c>
      <c r="H42" s="23"/>
      <c r="I42" t="s">
        <v>16</v>
      </c>
    </row>
    <row r="43" spans="1:9" x14ac:dyDescent="0.25">
      <c r="A43" s="9">
        <v>45967</v>
      </c>
      <c r="B43" s="5">
        <v>427</v>
      </c>
      <c r="C43" s="12">
        <v>118</v>
      </c>
      <c r="D43" s="11">
        <v>27.63</v>
      </c>
      <c r="E43" s="11">
        <v>27.63</v>
      </c>
      <c r="F43" s="11">
        <f t="shared" si="0"/>
        <v>27.634660421545664</v>
      </c>
      <c r="G43" s="11">
        <f t="shared" si="1"/>
        <v>27.634660421545664</v>
      </c>
      <c r="H43" s="23"/>
      <c r="I43" s="2">
        <f>SUM(B39:B44)</f>
        <v>4011</v>
      </c>
    </row>
    <row r="44" spans="1:9" x14ac:dyDescent="0.25">
      <c r="A44" s="9">
        <v>45965</v>
      </c>
      <c r="B44" s="5">
        <v>632</v>
      </c>
      <c r="C44" s="12">
        <v>168</v>
      </c>
      <c r="D44" s="11">
        <v>26.58</v>
      </c>
      <c r="E44" s="11">
        <v>26.58</v>
      </c>
      <c r="F44" s="11">
        <f t="shared" si="0"/>
        <v>26.582278481012654</v>
      </c>
      <c r="G44" s="11">
        <f t="shared" si="1"/>
        <v>26.582278481012654</v>
      </c>
      <c r="H44" s="23"/>
    </row>
    <row r="45" spans="1:9" x14ac:dyDescent="0.25">
      <c r="A45" s="9">
        <v>45959</v>
      </c>
      <c r="B45" s="5">
        <v>836</v>
      </c>
      <c r="C45" s="12">
        <v>221</v>
      </c>
      <c r="D45" s="11">
        <v>26.44</v>
      </c>
      <c r="E45" s="11">
        <v>26.44</v>
      </c>
      <c r="F45" s="11">
        <f t="shared" si="0"/>
        <v>26.435406698564595</v>
      </c>
      <c r="G45" s="11">
        <f t="shared" si="1"/>
        <v>26.435406698564595</v>
      </c>
    </row>
    <row r="46" spans="1:9" x14ac:dyDescent="0.25">
      <c r="A46" s="9">
        <v>45953</v>
      </c>
      <c r="B46" s="5">
        <v>889</v>
      </c>
      <c r="C46" s="12">
        <v>236</v>
      </c>
      <c r="D46" s="11">
        <v>26.55</v>
      </c>
      <c r="E46" s="11">
        <v>26.55</v>
      </c>
      <c r="F46" s="11">
        <f t="shared" si="0"/>
        <v>26.546681664791898</v>
      </c>
      <c r="G46" s="11">
        <f t="shared" si="1"/>
        <v>26.546681664791898</v>
      </c>
    </row>
    <row r="47" spans="1:9" x14ac:dyDescent="0.25">
      <c r="A47" s="9">
        <v>45947</v>
      </c>
      <c r="B47" s="5">
        <v>424</v>
      </c>
      <c r="C47" s="12">
        <v>116</v>
      </c>
      <c r="D47" s="11">
        <v>27.36</v>
      </c>
      <c r="E47" s="11">
        <v>27.36</v>
      </c>
      <c r="F47" s="11">
        <f t="shared" si="0"/>
        <v>27.358490566037734</v>
      </c>
      <c r="G47" s="11">
        <f t="shared" si="1"/>
        <v>27.358490566037734</v>
      </c>
    </row>
    <row r="48" spans="1:9" x14ac:dyDescent="0.25">
      <c r="A48" s="9">
        <v>45945</v>
      </c>
      <c r="B48" s="5">
        <v>855</v>
      </c>
      <c r="C48" s="12">
        <v>235</v>
      </c>
      <c r="D48" s="11">
        <v>27.49</v>
      </c>
      <c r="E48" s="11">
        <v>27.49</v>
      </c>
      <c r="F48" s="11">
        <f t="shared" si="0"/>
        <v>27.485380116959064</v>
      </c>
      <c r="G48" s="11">
        <f t="shared" si="1"/>
        <v>27.485380116959064</v>
      </c>
    </row>
    <row r="49" spans="1:7" x14ac:dyDescent="0.25">
      <c r="A49" s="9">
        <v>45939</v>
      </c>
      <c r="B49" s="5">
        <v>861</v>
      </c>
      <c r="C49" s="12">
        <v>239</v>
      </c>
      <c r="D49" s="11">
        <v>27.76</v>
      </c>
      <c r="E49" s="11">
        <v>27.76</v>
      </c>
      <c r="F49" s="11">
        <f t="shared" si="0"/>
        <v>27.758420441347269</v>
      </c>
      <c r="G49" s="11">
        <f t="shared" si="1"/>
        <v>27.758420441347269</v>
      </c>
    </row>
    <row r="50" spans="1:7" x14ac:dyDescent="0.25">
      <c r="A50" s="9">
        <v>45933</v>
      </c>
      <c r="B50" s="5">
        <v>427</v>
      </c>
      <c r="C50" s="12">
        <v>119</v>
      </c>
      <c r="D50" s="11">
        <v>27.87</v>
      </c>
      <c r="E50" s="11">
        <v>27.87</v>
      </c>
      <c r="F50" s="11">
        <f t="shared" si="0"/>
        <v>27.868852459016392</v>
      </c>
      <c r="G50" s="11">
        <f t="shared" si="1"/>
        <v>27.868852459016392</v>
      </c>
    </row>
    <row r="51" spans="1:7" x14ac:dyDescent="0.25">
      <c r="A51" s="9">
        <v>45931</v>
      </c>
      <c r="B51" s="5">
        <v>680</v>
      </c>
      <c r="C51" s="12">
        <v>182</v>
      </c>
      <c r="D51" s="11">
        <v>26.76</v>
      </c>
      <c r="E51" s="11">
        <v>26.76</v>
      </c>
      <c r="F51" s="11">
        <f t="shared" si="0"/>
        <v>26.764705882352942</v>
      </c>
      <c r="G51" s="11">
        <f t="shared" si="1"/>
        <v>26.764705882352942</v>
      </c>
    </row>
    <row r="52" spans="1:7" x14ac:dyDescent="0.25">
      <c r="A52" s="9">
        <v>45926</v>
      </c>
      <c r="B52" s="5">
        <v>452</v>
      </c>
      <c r="C52" s="12">
        <v>120</v>
      </c>
      <c r="D52" s="11">
        <v>26.55</v>
      </c>
      <c r="E52" s="11">
        <v>26.55</v>
      </c>
      <c r="F52" s="11">
        <f t="shared" si="0"/>
        <v>26.548672566371685</v>
      </c>
      <c r="G52" s="11">
        <f t="shared" si="1"/>
        <v>26.548672566371685</v>
      </c>
    </row>
    <row r="53" spans="1:7" x14ac:dyDescent="0.25">
      <c r="A53" s="9">
        <v>45924</v>
      </c>
      <c r="B53" s="5">
        <v>681</v>
      </c>
      <c r="C53" s="12">
        <v>190</v>
      </c>
      <c r="D53" s="11">
        <v>27.9</v>
      </c>
      <c r="E53" s="11">
        <v>27.9</v>
      </c>
      <c r="F53" s="11">
        <f t="shared" si="0"/>
        <v>27.900146842878122</v>
      </c>
      <c r="G53" s="11">
        <f t="shared" si="1"/>
        <v>27.900146842878122</v>
      </c>
    </row>
    <row r="54" spans="1:7" x14ac:dyDescent="0.25">
      <c r="A54" s="9">
        <v>45919</v>
      </c>
      <c r="B54" s="5">
        <v>454</v>
      </c>
      <c r="C54" s="12">
        <v>126</v>
      </c>
      <c r="D54" s="11">
        <v>27.75</v>
      </c>
      <c r="E54" s="11">
        <v>27.75</v>
      </c>
      <c r="F54" s="11">
        <f t="shared" si="0"/>
        <v>27.753303964757709</v>
      </c>
      <c r="G54" s="11">
        <f t="shared" si="1"/>
        <v>27.753303964757709</v>
      </c>
    </row>
    <row r="55" spans="1:7" x14ac:dyDescent="0.25">
      <c r="A55" s="9">
        <v>45917</v>
      </c>
      <c r="B55" s="5">
        <v>680</v>
      </c>
      <c r="C55" s="12">
        <v>187</v>
      </c>
      <c r="D55" s="11">
        <v>27.5</v>
      </c>
      <c r="E55" s="11">
        <v>27.5</v>
      </c>
      <c r="F55" s="11">
        <f t="shared" si="0"/>
        <v>27.500000000000004</v>
      </c>
      <c r="G55" s="11">
        <f t="shared" si="1"/>
        <v>27.500000000000004</v>
      </c>
    </row>
    <row r="56" spans="1:7" x14ac:dyDescent="0.25">
      <c r="A56" s="9">
        <v>45912</v>
      </c>
      <c r="B56" s="5">
        <v>445</v>
      </c>
      <c r="C56" s="12">
        <v>124</v>
      </c>
      <c r="D56" s="11">
        <v>27.87</v>
      </c>
      <c r="E56" s="11">
        <v>27.87</v>
      </c>
      <c r="F56" s="11">
        <f t="shared" si="0"/>
        <v>27.86516853932584</v>
      </c>
      <c r="G56" s="11">
        <f t="shared" si="1"/>
        <v>27.86516853932584</v>
      </c>
    </row>
    <row r="57" spans="1:7" x14ac:dyDescent="0.25">
      <c r="A57" s="9">
        <v>45910</v>
      </c>
      <c r="B57" s="5">
        <v>679</v>
      </c>
      <c r="C57" s="12">
        <v>190</v>
      </c>
      <c r="D57" s="11">
        <v>27.98</v>
      </c>
      <c r="E57" s="11">
        <v>27.98</v>
      </c>
      <c r="F57" s="11">
        <f t="shared" si="0"/>
        <v>27.982326951399116</v>
      </c>
      <c r="G57" s="11">
        <f t="shared" si="1"/>
        <v>27.982326951399116</v>
      </c>
    </row>
    <row r="58" spans="1:7" x14ac:dyDescent="0.25">
      <c r="A58" s="9">
        <v>45905</v>
      </c>
      <c r="B58" s="5">
        <v>678</v>
      </c>
      <c r="C58" s="12">
        <v>187</v>
      </c>
      <c r="D58" s="11">
        <v>27.58</v>
      </c>
      <c r="E58" s="11">
        <v>27.58</v>
      </c>
      <c r="F58" s="11">
        <f t="shared" si="0"/>
        <v>27.581120943952804</v>
      </c>
      <c r="G58" s="11">
        <f t="shared" si="1"/>
        <v>27.581120943952804</v>
      </c>
    </row>
    <row r="59" spans="1:7" x14ac:dyDescent="0.25">
      <c r="A59" s="9">
        <v>45902</v>
      </c>
      <c r="B59" s="5">
        <v>687</v>
      </c>
      <c r="C59" s="12">
        <v>171</v>
      </c>
      <c r="D59" s="11">
        <v>24.89</v>
      </c>
      <c r="E59" s="11">
        <v>24.89</v>
      </c>
      <c r="F59" s="11">
        <f t="shared" si="0"/>
        <v>24.890829694323145</v>
      </c>
      <c r="G59" s="11">
        <f t="shared" si="1"/>
        <v>24.890829694323145</v>
      </c>
    </row>
    <row r="60" spans="1:7" x14ac:dyDescent="0.25">
      <c r="A60" s="9">
        <v>45898</v>
      </c>
      <c r="B60" s="5">
        <v>312</v>
      </c>
      <c r="C60" s="12">
        <v>87</v>
      </c>
      <c r="D60" s="11">
        <v>27.88</v>
      </c>
      <c r="E60" s="11">
        <v>27.88</v>
      </c>
      <c r="F60" s="11">
        <f t="shared" si="0"/>
        <v>27.884615384615387</v>
      </c>
      <c r="G60" s="11">
        <f t="shared" si="1"/>
        <v>27.884615384615387</v>
      </c>
    </row>
    <row r="61" spans="1:7" x14ac:dyDescent="0.25">
      <c r="A61" s="9">
        <v>45897</v>
      </c>
      <c r="B61" s="5">
        <v>1172</v>
      </c>
      <c r="C61" s="12">
        <v>313</v>
      </c>
      <c r="D61" s="11">
        <v>26.71</v>
      </c>
      <c r="E61" s="11">
        <v>26.71</v>
      </c>
      <c r="F61" s="11">
        <f t="shared" si="0"/>
        <v>26.706484641638223</v>
      </c>
      <c r="G61" s="11">
        <f t="shared" si="1"/>
        <v>26.706484641638223</v>
      </c>
    </row>
    <row r="62" spans="1:7" x14ac:dyDescent="0.25">
      <c r="A62" s="9">
        <v>45869</v>
      </c>
      <c r="B62" s="5">
        <v>813</v>
      </c>
      <c r="C62" s="12">
        <v>199</v>
      </c>
      <c r="D62" s="11">
        <v>24.48</v>
      </c>
      <c r="E62" s="11">
        <v>24.48</v>
      </c>
      <c r="F62" s="11">
        <f t="shared" si="0"/>
        <v>24.477244772447722</v>
      </c>
      <c r="G62" s="11">
        <f t="shared" si="1"/>
        <v>24.477244772447722</v>
      </c>
    </row>
    <row r="63" spans="1:7" x14ac:dyDescent="0.25">
      <c r="A63" s="9">
        <v>45863</v>
      </c>
      <c r="B63" s="5">
        <v>533</v>
      </c>
      <c r="C63" s="12">
        <v>132</v>
      </c>
      <c r="D63" s="11">
        <v>24.77</v>
      </c>
      <c r="E63" s="11">
        <v>24.77</v>
      </c>
      <c r="F63" s="11">
        <f t="shared" si="0"/>
        <v>24.765478424015008</v>
      </c>
      <c r="G63" s="11">
        <f t="shared" si="1"/>
        <v>24.765478424015008</v>
      </c>
    </row>
    <row r="64" spans="1:7" x14ac:dyDescent="0.25">
      <c r="A64" s="9">
        <v>45861</v>
      </c>
      <c r="B64" s="5">
        <v>8138</v>
      </c>
      <c r="C64" s="12">
        <v>204</v>
      </c>
      <c r="D64" s="11">
        <v>2.5099999999999998</v>
      </c>
      <c r="E64" s="11"/>
      <c r="F64" s="11">
        <f t="shared" si="0"/>
        <v>2.5067584173015485</v>
      </c>
      <c r="G64" s="11"/>
    </row>
    <row r="65" spans="1:7" x14ac:dyDescent="0.25">
      <c r="A65" s="9">
        <v>45817</v>
      </c>
      <c r="B65" s="5">
        <v>416</v>
      </c>
      <c r="C65" s="12">
        <v>108</v>
      </c>
      <c r="D65" s="11">
        <v>25.96</v>
      </c>
      <c r="E65" s="11">
        <v>25.96</v>
      </c>
      <c r="F65" s="11">
        <f t="shared" si="0"/>
        <v>25.961538461538463</v>
      </c>
      <c r="G65" s="11">
        <f t="shared" si="1"/>
        <v>25.961538461538463</v>
      </c>
    </row>
    <row r="66" spans="1:7" x14ac:dyDescent="0.25">
      <c r="A66" s="9">
        <v>45814</v>
      </c>
      <c r="B66" s="5">
        <v>573</v>
      </c>
      <c r="C66" s="12">
        <v>155</v>
      </c>
      <c r="D66" s="11">
        <v>27.05</v>
      </c>
      <c r="E66" s="11">
        <v>27.05</v>
      </c>
      <c r="F66" s="11">
        <f t="shared" si="0"/>
        <v>27.05061082024433</v>
      </c>
      <c r="G66" s="11">
        <f t="shared" si="1"/>
        <v>27.05061082024433</v>
      </c>
    </row>
    <row r="67" spans="1:7" x14ac:dyDescent="0.25">
      <c r="A67" s="9">
        <v>45812</v>
      </c>
      <c r="B67" s="5">
        <v>848</v>
      </c>
      <c r="C67" s="12">
        <v>222</v>
      </c>
      <c r="D67" s="11">
        <v>26.18</v>
      </c>
      <c r="E67" s="11">
        <v>26.18</v>
      </c>
      <c r="F67" s="11">
        <f t="shared" ref="F67:F130" si="2">C67/B67*100</f>
        <v>26.179245283018872</v>
      </c>
      <c r="G67" s="11">
        <f t="shared" ref="G67:G130" si="3">C67/B67*100</f>
        <v>26.179245283018872</v>
      </c>
    </row>
    <row r="68" spans="1:7" x14ac:dyDescent="0.25">
      <c r="A68" s="9">
        <v>45807</v>
      </c>
      <c r="B68" s="5">
        <v>568</v>
      </c>
      <c r="C68" s="12">
        <v>146</v>
      </c>
      <c r="D68" s="11">
        <v>25.7</v>
      </c>
      <c r="E68" s="11">
        <v>25.7</v>
      </c>
      <c r="F68" s="11">
        <f t="shared" si="2"/>
        <v>25.704225352112676</v>
      </c>
      <c r="G68" s="11">
        <f t="shared" si="3"/>
        <v>25.704225352112676</v>
      </c>
    </row>
    <row r="69" spans="1:7" x14ac:dyDescent="0.25">
      <c r="A69" s="9">
        <v>45805</v>
      </c>
      <c r="B69" s="5">
        <v>1376</v>
      </c>
      <c r="C69" s="12">
        <v>351</v>
      </c>
      <c r="D69" s="11">
        <v>25.51</v>
      </c>
      <c r="E69" s="11">
        <v>25.51</v>
      </c>
      <c r="F69" s="11">
        <f t="shared" si="2"/>
        <v>25.50872093023256</v>
      </c>
      <c r="G69" s="11">
        <f t="shared" si="3"/>
        <v>25.50872093023256</v>
      </c>
    </row>
    <row r="70" spans="1:7" x14ac:dyDescent="0.25">
      <c r="A70" s="9">
        <v>45798</v>
      </c>
      <c r="B70" s="5">
        <v>1621</v>
      </c>
      <c r="C70" s="12">
        <v>412</v>
      </c>
      <c r="D70" s="11">
        <v>25.42</v>
      </c>
      <c r="E70" s="11">
        <v>25.42</v>
      </c>
      <c r="F70" s="11">
        <f t="shared" si="2"/>
        <v>25.416409623689081</v>
      </c>
      <c r="G70" s="11">
        <f t="shared" si="3"/>
        <v>25.416409623689081</v>
      </c>
    </row>
    <row r="71" spans="1:7" x14ac:dyDescent="0.25">
      <c r="A71" s="9">
        <v>45790</v>
      </c>
      <c r="B71" s="5">
        <v>714</v>
      </c>
      <c r="C71" s="12">
        <v>172</v>
      </c>
      <c r="D71" s="11">
        <v>24.09</v>
      </c>
      <c r="E71" s="11">
        <v>24.09</v>
      </c>
      <c r="F71" s="11">
        <f t="shared" si="2"/>
        <v>24.089635854341736</v>
      </c>
      <c r="G71" s="11">
        <f t="shared" si="3"/>
        <v>24.089635854341736</v>
      </c>
    </row>
    <row r="72" spans="1:7" x14ac:dyDescent="0.25">
      <c r="A72" s="9">
        <v>45786</v>
      </c>
      <c r="B72" s="5">
        <v>457</v>
      </c>
      <c r="C72" s="12">
        <v>116</v>
      </c>
      <c r="D72" s="11">
        <v>25.38</v>
      </c>
      <c r="E72" s="11">
        <v>25.38</v>
      </c>
      <c r="F72" s="11">
        <f t="shared" si="2"/>
        <v>25.38293216630197</v>
      </c>
      <c r="G72" s="11">
        <f t="shared" si="3"/>
        <v>25.38293216630197</v>
      </c>
    </row>
    <row r="73" spans="1:7" x14ac:dyDescent="0.25">
      <c r="A73" s="9">
        <v>45785</v>
      </c>
      <c r="B73" s="5">
        <v>865</v>
      </c>
      <c r="C73" s="12">
        <v>216</v>
      </c>
      <c r="D73" s="11">
        <v>24.97</v>
      </c>
      <c r="E73" s="11">
        <v>24.97</v>
      </c>
      <c r="F73" s="11">
        <f t="shared" si="2"/>
        <v>24.971098265895954</v>
      </c>
      <c r="G73" s="11">
        <f t="shared" si="3"/>
        <v>24.971098265895954</v>
      </c>
    </row>
    <row r="74" spans="1:7" x14ac:dyDescent="0.25">
      <c r="A74" s="9">
        <v>45782</v>
      </c>
      <c r="B74" s="5">
        <v>597</v>
      </c>
      <c r="C74" s="12">
        <v>151</v>
      </c>
      <c r="D74" s="11">
        <v>25.29</v>
      </c>
      <c r="E74" s="11">
        <v>25.29</v>
      </c>
      <c r="F74" s="11">
        <f t="shared" si="2"/>
        <v>25.293132328308211</v>
      </c>
      <c r="G74" s="11">
        <f t="shared" si="3"/>
        <v>25.293132328308211</v>
      </c>
    </row>
    <row r="75" spans="1:7" x14ac:dyDescent="0.25">
      <c r="A75" s="9">
        <v>45777</v>
      </c>
      <c r="B75" s="5">
        <v>757</v>
      </c>
      <c r="C75" s="12">
        <v>195</v>
      </c>
      <c r="D75" s="11">
        <v>25.76</v>
      </c>
      <c r="E75" s="11">
        <v>25.76</v>
      </c>
      <c r="F75" s="11">
        <f t="shared" si="2"/>
        <v>25.75957727873184</v>
      </c>
      <c r="G75" s="11">
        <f t="shared" si="3"/>
        <v>25.75957727873184</v>
      </c>
    </row>
    <row r="76" spans="1:7" x14ac:dyDescent="0.25">
      <c r="A76" s="9">
        <v>45772</v>
      </c>
      <c r="B76" s="5">
        <v>858</v>
      </c>
      <c r="C76" s="12">
        <v>216</v>
      </c>
      <c r="D76" s="11">
        <v>25.17</v>
      </c>
      <c r="E76" s="11">
        <v>25.17</v>
      </c>
      <c r="F76" s="11">
        <f t="shared" si="2"/>
        <v>25.174825174825177</v>
      </c>
      <c r="G76" s="11">
        <f t="shared" si="3"/>
        <v>25.174825174825177</v>
      </c>
    </row>
    <row r="77" spans="1:7" x14ac:dyDescent="0.25">
      <c r="A77" s="9">
        <v>45769</v>
      </c>
      <c r="B77" s="5">
        <v>660</v>
      </c>
      <c r="C77" s="12">
        <v>164</v>
      </c>
      <c r="D77" s="11">
        <v>24.85</v>
      </c>
      <c r="E77" s="11">
        <v>24.85</v>
      </c>
      <c r="F77" s="11">
        <f t="shared" si="2"/>
        <v>24.848484848484848</v>
      </c>
      <c r="G77" s="11">
        <f t="shared" si="3"/>
        <v>24.848484848484848</v>
      </c>
    </row>
    <row r="78" spans="1:7" x14ac:dyDescent="0.25">
      <c r="A78" s="9">
        <v>45765</v>
      </c>
      <c r="B78" s="5">
        <v>280</v>
      </c>
      <c r="C78" s="12">
        <v>64</v>
      </c>
      <c r="D78" s="11">
        <v>22.86</v>
      </c>
      <c r="E78" s="11">
        <v>22.86</v>
      </c>
      <c r="F78" s="11">
        <f t="shared" si="2"/>
        <v>22.857142857142858</v>
      </c>
      <c r="G78" s="11">
        <f t="shared" si="3"/>
        <v>22.857142857142858</v>
      </c>
    </row>
    <row r="79" spans="1:7" x14ac:dyDescent="0.25">
      <c r="A79" s="9">
        <v>45765</v>
      </c>
      <c r="B79" s="5">
        <v>752</v>
      </c>
      <c r="C79" s="12">
        <v>205</v>
      </c>
      <c r="D79" s="11">
        <v>27.26</v>
      </c>
      <c r="E79" s="11">
        <v>27.26</v>
      </c>
      <c r="F79" s="11">
        <f t="shared" si="2"/>
        <v>27.26063829787234</v>
      </c>
      <c r="G79" s="11">
        <f t="shared" si="3"/>
        <v>27.26063829787234</v>
      </c>
    </row>
    <row r="80" spans="1:7" x14ac:dyDescent="0.25">
      <c r="A80" s="9">
        <v>45761</v>
      </c>
      <c r="B80" s="5">
        <v>657</v>
      </c>
      <c r="C80" s="12">
        <v>158</v>
      </c>
      <c r="D80" s="11">
        <v>24.05</v>
      </c>
      <c r="E80" s="11">
        <v>24.05</v>
      </c>
      <c r="F80" s="11">
        <f t="shared" si="2"/>
        <v>24.048706240487061</v>
      </c>
      <c r="G80" s="11">
        <f t="shared" si="3"/>
        <v>24.048706240487061</v>
      </c>
    </row>
    <row r="81" spans="1:7" x14ac:dyDescent="0.25">
      <c r="A81" s="9">
        <v>45758</v>
      </c>
      <c r="B81" s="5">
        <v>1289</v>
      </c>
      <c r="C81" s="12">
        <v>76</v>
      </c>
      <c r="D81" s="11">
        <v>5.9</v>
      </c>
      <c r="E81" s="11"/>
      <c r="F81" s="11">
        <f t="shared" si="2"/>
        <v>5.896043444530644</v>
      </c>
      <c r="G81" s="11"/>
    </row>
    <row r="82" spans="1:7" x14ac:dyDescent="0.25">
      <c r="A82" s="9">
        <v>45757</v>
      </c>
      <c r="B82" s="5">
        <v>865</v>
      </c>
      <c r="C82" s="12">
        <v>229</v>
      </c>
      <c r="D82" s="11">
        <v>26.47</v>
      </c>
      <c r="E82" s="11">
        <v>26.47</v>
      </c>
      <c r="F82" s="11">
        <f t="shared" si="2"/>
        <v>26.473988439306357</v>
      </c>
      <c r="G82" s="11">
        <f t="shared" si="3"/>
        <v>26.473988439306357</v>
      </c>
    </row>
    <row r="83" spans="1:7" x14ac:dyDescent="0.25">
      <c r="A83" s="9">
        <v>45754</v>
      </c>
      <c r="B83" s="5">
        <v>648</v>
      </c>
      <c r="C83" s="12">
        <v>163</v>
      </c>
      <c r="D83" s="11">
        <v>25.15</v>
      </c>
      <c r="E83" s="11">
        <v>25.15</v>
      </c>
      <c r="F83" s="11">
        <f t="shared" si="2"/>
        <v>25.154320987654323</v>
      </c>
      <c r="G83" s="11">
        <f t="shared" si="3"/>
        <v>25.154320987654323</v>
      </c>
    </row>
    <row r="84" spans="1:7" x14ac:dyDescent="0.25">
      <c r="A84" s="9">
        <v>45751</v>
      </c>
      <c r="B84" s="5">
        <v>284</v>
      </c>
      <c r="C84" s="12">
        <v>75</v>
      </c>
      <c r="D84" s="11">
        <v>26.41</v>
      </c>
      <c r="E84" s="11">
        <v>26.41</v>
      </c>
      <c r="F84" s="11">
        <f t="shared" si="2"/>
        <v>26.408450704225352</v>
      </c>
      <c r="G84" s="11">
        <f t="shared" si="3"/>
        <v>26.408450704225352</v>
      </c>
    </row>
    <row r="85" spans="1:7" x14ac:dyDescent="0.25">
      <c r="A85" s="9">
        <v>45750</v>
      </c>
      <c r="B85" s="5">
        <v>804</v>
      </c>
      <c r="C85" s="12">
        <v>215</v>
      </c>
      <c r="D85" s="11">
        <v>26.74</v>
      </c>
      <c r="E85" s="11">
        <v>26.74</v>
      </c>
      <c r="F85" s="11">
        <f t="shared" si="2"/>
        <v>26.741293532338307</v>
      </c>
      <c r="G85" s="11">
        <f t="shared" si="3"/>
        <v>26.741293532338307</v>
      </c>
    </row>
    <row r="86" spans="1:7" x14ac:dyDescent="0.25">
      <c r="A86" s="9">
        <v>45747</v>
      </c>
      <c r="B86" s="5">
        <v>653</v>
      </c>
      <c r="C86" s="12">
        <v>151</v>
      </c>
      <c r="D86" s="11">
        <v>23.12</v>
      </c>
      <c r="E86" s="11">
        <v>23.12</v>
      </c>
      <c r="F86" s="11">
        <f t="shared" si="2"/>
        <v>23.124042879019907</v>
      </c>
      <c r="G86" s="11">
        <f t="shared" si="3"/>
        <v>23.124042879019907</v>
      </c>
    </row>
    <row r="87" spans="1:7" x14ac:dyDescent="0.25">
      <c r="A87" s="9">
        <v>45744</v>
      </c>
      <c r="B87" s="5">
        <v>279</v>
      </c>
      <c r="C87" s="12">
        <v>76</v>
      </c>
      <c r="D87" s="11">
        <v>27.24</v>
      </c>
      <c r="E87" s="11">
        <v>27.24</v>
      </c>
      <c r="F87" s="11">
        <f t="shared" si="2"/>
        <v>27.24014336917563</v>
      </c>
      <c r="G87" s="11">
        <f t="shared" si="3"/>
        <v>27.24014336917563</v>
      </c>
    </row>
    <row r="88" spans="1:7" x14ac:dyDescent="0.25">
      <c r="A88" s="9">
        <v>45743</v>
      </c>
      <c r="B88" s="5">
        <v>790</v>
      </c>
      <c r="C88" s="12">
        <v>202</v>
      </c>
      <c r="D88" s="11">
        <v>25.57</v>
      </c>
      <c r="E88" s="11">
        <v>25.57</v>
      </c>
      <c r="F88" s="11">
        <f t="shared" si="2"/>
        <v>25.569620253164555</v>
      </c>
      <c r="G88" s="11">
        <f t="shared" si="3"/>
        <v>25.569620253164555</v>
      </c>
    </row>
    <row r="89" spans="1:7" x14ac:dyDescent="0.25">
      <c r="A89" s="9">
        <v>45740</v>
      </c>
      <c r="B89" s="5">
        <v>652</v>
      </c>
      <c r="C89" s="12">
        <v>155</v>
      </c>
      <c r="D89" s="11">
        <v>23.77</v>
      </c>
      <c r="E89" s="11">
        <v>23.77</v>
      </c>
      <c r="F89" s="11">
        <f t="shared" si="2"/>
        <v>23.773006134969325</v>
      </c>
      <c r="G89" s="11">
        <f t="shared" si="3"/>
        <v>23.773006134969325</v>
      </c>
    </row>
    <row r="90" spans="1:7" x14ac:dyDescent="0.25">
      <c r="A90" s="9">
        <v>45737</v>
      </c>
      <c r="B90" s="5">
        <v>840</v>
      </c>
      <c r="C90" s="12">
        <v>225</v>
      </c>
      <c r="D90" s="11">
        <v>26.79</v>
      </c>
      <c r="E90" s="11">
        <v>26.79</v>
      </c>
      <c r="F90" s="11">
        <f t="shared" si="2"/>
        <v>26.785714285714285</v>
      </c>
      <c r="G90" s="11">
        <f t="shared" si="3"/>
        <v>26.785714285714285</v>
      </c>
    </row>
    <row r="91" spans="1:7" x14ac:dyDescent="0.25">
      <c r="A91" s="9">
        <v>45734</v>
      </c>
      <c r="B91" s="5">
        <v>610</v>
      </c>
      <c r="C91" s="12">
        <v>161</v>
      </c>
      <c r="D91" s="11">
        <v>26.39</v>
      </c>
      <c r="E91" s="11">
        <v>26.39</v>
      </c>
      <c r="F91" s="11">
        <f t="shared" si="2"/>
        <v>26.393442622950818</v>
      </c>
      <c r="G91" s="11">
        <f t="shared" si="3"/>
        <v>26.393442622950818</v>
      </c>
    </row>
    <row r="92" spans="1:7" x14ac:dyDescent="0.25">
      <c r="A92" s="9">
        <v>45730</v>
      </c>
      <c r="B92" s="5">
        <v>278</v>
      </c>
      <c r="C92" s="12">
        <v>77</v>
      </c>
      <c r="D92" s="11">
        <v>27.7</v>
      </c>
      <c r="E92" s="11">
        <v>27.7</v>
      </c>
      <c r="F92" s="11">
        <f t="shared" si="2"/>
        <v>27.697841726618705</v>
      </c>
      <c r="G92" s="11">
        <f t="shared" si="3"/>
        <v>27.697841726618705</v>
      </c>
    </row>
    <row r="93" spans="1:7" x14ac:dyDescent="0.25">
      <c r="A93" s="9">
        <v>45729</v>
      </c>
      <c r="B93" s="5">
        <v>836</v>
      </c>
      <c r="C93" s="12">
        <v>220</v>
      </c>
      <c r="D93" s="11">
        <v>26.32</v>
      </c>
      <c r="E93" s="11">
        <v>26.32</v>
      </c>
      <c r="F93" s="11">
        <f t="shared" si="2"/>
        <v>26.315789473684209</v>
      </c>
      <c r="G93" s="11">
        <f t="shared" si="3"/>
        <v>26.315789473684209</v>
      </c>
    </row>
    <row r="94" spans="1:7" x14ac:dyDescent="0.25">
      <c r="A94" s="9">
        <v>45726</v>
      </c>
      <c r="B94" s="5">
        <v>602</v>
      </c>
      <c r="C94" s="12">
        <v>143</v>
      </c>
      <c r="D94" s="11">
        <v>23.75</v>
      </c>
      <c r="E94" s="11">
        <v>23.75</v>
      </c>
      <c r="F94" s="11">
        <f t="shared" si="2"/>
        <v>23.754152823920265</v>
      </c>
      <c r="G94" s="11">
        <f t="shared" si="3"/>
        <v>23.754152823920265</v>
      </c>
    </row>
    <row r="95" spans="1:7" x14ac:dyDescent="0.25">
      <c r="A95" s="9">
        <v>45723</v>
      </c>
      <c r="B95" s="5">
        <v>330</v>
      </c>
      <c r="C95" s="12">
        <v>90</v>
      </c>
      <c r="D95" s="11">
        <v>27.27</v>
      </c>
      <c r="E95" s="11">
        <v>27.27</v>
      </c>
      <c r="F95" s="11">
        <f t="shared" si="2"/>
        <v>27.27272727272727</v>
      </c>
      <c r="G95" s="11">
        <f t="shared" si="3"/>
        <v>27.27272727272727</v>
      </c>
    </row>
    <row r="96" spans="1:7" x14ac:dyDescent="0.25">
      <c r="A96" s="9">
        <v>45722</v>
      </c>
      <c r="B96" s="5">
        <v>836</v>
      </c>
      <c r="C96" s="12">
        <v>216</v>
      </c>
      <c r="D96" s="11">
        <v>25.84</v>
      </c>
      <c r="E96" s="11">
        <v>25.84</v>
      </c>
      <c r="F96" s="11">
        <f t="shared" si="2"/>
        <v>25.837320574162682</v>
      </c>
      <c r="G96" s="11">
        <f t="shared" si="3"/>
        <v>25.837320574162682</v>
      </c>
    </row>
    <row r="97" spans="1:9" x14ac:dyDescent="0.25">
      <c r="A97" s="9">
        <v>45719</v>
      </c>
      <c r="B97" s="5">
        <v>9983</v>
      </c>
      <c r="C97" s="12">
        <v>173</v>
      </c>
      <c r="D97" s="11">
        <v>1.73</v>
      </c>
      <c r="E97" s="11"/>
      <c r="F97" s="11">
        <f t="shared" si="2"/>
        <v>1.7329460082139636</v>
      </c>
      <c r="G97" s="11"/>
    </row>
    <row r="98" spans="1:9" x14ac:dyDescent="0.25">
      <c r="A98" s="9">
        <v>45674</v>
      </c>
      <c r="B98" s="5">
        <v>594</v>
      </c>
      <c r="C98" s="12">
        <v>163</v>
      </c>
      <c r="D98" s="11">
        <v>27.44</v>
      </c>
      <c r="E98" s="11">
        <v>27.44</v>
      </c>
      <c r="F98" s="11">
        <f t="shared" si="2"/>
        <v>27.441077441077443</v>
      </c>
      <c r="G98" s="11">
        <f t="shared" si="3"/>
        <v>27.441077441077443</v>
      </c>
      <c r="I98" s="13"/>
    </row>
    <row r="99" spans="1:9" x14ac:dyDescent="0.25">
      <c r="A99" s="9">
        <v>45672</v>
      </c>
      <c r="B99" s="5">
        <v>765</v>
      </c>
      <c r="C99" s="12">
        <v>210</v>
      </c>
      <c r="D99" s="11">
        <v>27.45</v>
      </c>
      <c r="E99" s="11">
        <v>27.45</v>
      </c>
      <c r="F99" s="11">
        <f t="shared" si="2"/>
        <v>27.450980392156865</v>
      </c>
      <c r="G99" s="11">
        <f t="shared" si="3"/>
        <v>27.450980392156865</v>
      </c>
    </row>
    <row r="100" spans="1:9" x14ac:dyDescent="0.25">
      <c r="A100" s="9">
        <v>45670</v>
      </c>
      <c r="B100" s="5">
        <v>554</v>
      </c>
      <c r="C100" s="12">
        <v>141</v>
      </c>
      <c r="D100" s="11">
        <v>25.45</v>
      </c>
      <c r="E100" s="11">
        <v>25.45</v>
      </c>
      <c r="F100" s="11">
        <f t="shared" si="2"/>
        <v>25.451263537906136</v>
      </c>
      <c r="G100" s="11">
        <f t="shared" si="3"/>
        <v>25.451263537906136</v>
      </c>
    </row>
    <row r="101" spans="1:9" x14ac:dyDescent="0.25">
      <c r="A101" s="9">
        <v>45667</v>
      </c>
      <c r="B101" s="5">
        <v>841</v>
      </c>
      <c r="C101" s="12">
        <v>220</v>
      </c>
      <c r="D101" s="11">
        <v>26.16</v>
      </c>
      <c r="E101" s="11">
        <v>26.16</v>
      </c>
      <c r="F101" s="11">
        <f t="shared" si="2"/>
        <v>26.159334126040427</v>
      </c>
      <c r="G101" s="11">
        <f t="shared" si="3"/>
        <v>26.159334126040427</v>
      </c>
    </row>
    <row r="102" spans="1:9" x14ac:dyDescent="0.25">
      <c r="A102" s="9">
        <v>45664</v>
      </c>
      <c r="B102" s="5">
        <v>782</v>
      </c>
      <c r="C102" s="12">
        <v>216</v>
      </c>
      <c r="D102" s="11">
        <v>27.62</v>
      </c>
      <c r="E102" s="11">
        <v>27.62</v>
      </c>
      <c r="F102" s="11">
        <f t="shared" si="2"/>
        <v>27.621483375959077</v>
      </c>
      <c r="G102" s="11">
        <f t="shared" si="3"/>
        <v>27.621483375959077</v>
      </c>
    </row>
    <row r="103" spans="1:9" x14ac:dyDescent="0.25">
      <c r="A103" s="9">
        <v>45656</v>
      </c>
      <c r="B103" s="5">
        <v>517</v>
      </c>
      <c r="C103" s="12">
        <v>142</v>
      </c>
      <c r="D103" s="11">
        <v>27.47</v>
      </c>
      <c r="E103" s="11">
        <v>27.47</v>
      </c>
      <c r="F103" s="11">
        <f t="shared" si="2"/>
        <v>27.466150870406192</v>
      </c>
      <c r="G103" s="11">
        <f t="shared" si="3"/>
        <v>27.466150870406192</v>
      </c>
    </row>
    <row r="104" spans="1:9" x14ac:dyDescent="0.25">
      <c r="A104" s="9">
        <v>45650</v>
      </c>
      <c r="B104" s="5">
        <v>588</v>
      </c>
      <c r="C104" s="12">
        <v>166</v>
      </c>
      <c r="D104" s="11">
        <v>28.23</v>
      </c>
      <c r="E104" s="11">
        <v>28.23</v>
      </c>
      <c r="F104" s="11">
        <f t="shared" si="2"/>
        <v>28.2312925170068</v>
      </c>
      <c r="G104" s="11">
        <f t="shared" si="3"/>
        <v>28.2312925170068</v>
      </c>
    </row>
    <row r="105" spans="1:9" x14ac:dyDescent="0.25">
      <c r="A105" s="9">
        <v>45646</v>
      </c>
      <c r="B105" s="5">
        <v>758</v>
      </c>
      <c r="C105" s="12">
        <v>200</v>
      </c>
      <c r="D105" s="11">
        <v>26.39</v>
      </c>
      <c r="E105" s="11">
        <v>26.39</v>
      </c>
      <c r="F105" s="11">
        <f t="shared" si="2"/>
        <v>26.385224274406333</v>
      </c>
      <c r="G105" s="11">
        <f t="shared" si="3"/>
        <v>26.385224274406333</v>
      </c>
    </row>
    <row r="106" spans="1:9" x14ac:dyDescent="0.25">
      <c r="A106" s="9">
        <v>45644</v>
      </c>
      <c r="B106" s="5">
        <v>723</v>
      </c>
      <c r="C106" s="12">
        <v>202</v>
      </c>
      <c r="D106" s="11">
        <v>27.94</v>
      </c>
      <c r="E106" s="11">
        <v>27.94</v>
      </c>
      <c r="F106" s="11">
        <f t="shared" si="2"/>
        <v>27.939142461964039</v>
      </c>
      <c r="G106" s="11">
        <f t="shared" si="3"/>
        <v>27.939142461964039</v>
      </c>
    </row>
    <row r="107" spans="1:9" x14ac:dyDescent="0.25">
      <c r="A107" s="9">
        <v>45639</v>
      </c>
      <c r="B107" s="5">
        <v>763</v>
      </c>
      <c r="C107" s="12">
        <v>209</v>
      </c>
      <c r="D107" s="11">
        <v>27.39</v>
      </c>
      <c r="E107" s="11">
        <v>27.39</v>
      </c>
      <c r="F107" s="11">
        <f t="shared" si="2"/>
        <v>27.391874180865006</v>
      </c>
      <c r="G107" s="11">
        <f t="shared" si="3"/>
        <v>27.391874180865006</v>
      </c>
    </row>
    <row r="108" spans="1:9" x14ac:dyDescent="0.25">
      <c r="A108" s="9">
        <v>45637</v>
      </c>
      <c r="B108" s="5">
        <v>727</v>
      </c>
      <c r="C108" s="12">
        <v>200</v>
      </c>
      <c r="D108" s="11">
        <v>27.51</v>
      </c>
      <c r="E108" s="11">
        <v>27.51</v>
      </c>
      <c r="F108" s="11">
        <f t="shared" si="2"/>
        <v>27.510316368638239</v>
      </c>
      <c r="G108" s="11">
        <f t="shared" si="3"/>
        <v>27.510316368638239</v>
      </c>
    </row>
    <row r="109" spans="1:9" x14ac:dyDescent="0.25">
      <c r="A109" s="9">
        <v>45632</v>
      </c>
      <c r="B109" s="5">
        <v>762</v>
      </c>
      <c r="C109" s="12">
        <v>209</v>
      </c>
      <c r="D109" s="11">
        <v>27.43</v>
      </c>
      <c r="E109" s="11">
        <v>27.43</v>
      </c>
      <c r="F109" s="11">
        <f t="shared" si="2"/>
        <v>27.42782152230971</v>
      </c>
      <c r="G109" s="11">
        <f t="shared" si="3"/>
        <v>27.42782152230971</v>
      </c>
    </row>
    <row r="110" spans="1:9" x14ac:dyDescent="0.25">
      <c r="A110" s="9">
        <v>45630</v>
      </c>
      <c r="B110" s="5">
        <v>722</v>
      </c>
      <c r="C110" s="12">
        <v>199</v>
      </c>
      <c r="D110" s="11">
        <v>27.56</v>
      </c>
      <c r="E110" s="11">
        <v>27.56</v>
      </c>
      <c r="F110" s="11">
        <f t="shared" si="2"/>
        <v>27.562326869806093</v>
      </c>
      <c r="G110" s="11">
        <f t="shared" si="3"/>
        <v>27.562326869806093</v>
      </c>
    </row>
    <row r="111" spans="1:9" ht="15" customHeight="1" x14ac:dyDescent="0.25">
      <c r="A111" s="9">
        <v>45625</v>
      </c>
      <c r="B111" s="5">
        <v>762</v>
      </c>
      <c r="C111" s="12">
        <v>211</v>
      </c>
      <c r="D111" s="11">
        <v>27.69</v>
      </c>
      <c r="E111" s="11">
        <v>27.69</v>
      </c>
      <c r="F111" s="11">
        <f t="shared" si="2"/>
        <v>27.690288713910761</v>
      </c>
      <c r="G111" s="11">
        <f t="shared" si="3"/>
        <v>27.690288713910761</v>
      </c>
      <c r="H111" s="22">
        <v>45597</v>
      </c>
      <c r="I111" t="s">
        <v>29</v>
      </c>
    </row>
    <row r="112" spans="1:9" x14ac:dyDescent="0.25">
      <c r="A112" s="9">
        <v>45623</v>
      </c>
      <c r="B112" s="5">
        <v>1357</v>
      </c>
      <c r="C112" s="12">
        <v>369</v>
      </c>
      <c r="D112" s="11">
        <v>27.19</v>
      </c>
      <c r="E112" s="11">
        <v>27.19</v>
      </c>
      <c r="F112" s="11">
        <f t="shared" si="2"/>
        <v>27.192336035372143</v>
      </c>
      <c r="G112" s="11">
        <f t="shared" si="3"/>
        <v>27.192336035372143</v>
      </c>
      <c r="H112" s="22"/>
      <c r="I112" s="13">
        <f>AVERAGE(E111:E117)</f>
        <v>27.325714285714287</v>
      </c>
    </row>
    <row r="113" spans="1:9" x14ac:dyDescent="0.25">
      <c r="A113" s="9">
        <v>45616</v>
      </c>
      <c r="B113" s="5">
        <v>833</v>
      </c>
      <c r="C113" s="12">
        <v>233</v>
      </c>
      <c r="D113" s="11">
        <v>27.97</v>
      </c>
      <c r="E113" s="11">
        <v>27.97</v>
      </c>
      <c r="F113" s="11">
        <f t="shared" si="2"/>
        <v>27.971188475390157</v>
      </c>
      <c r="G113" s="11">
        <f t="shared" si="3"/>
        <v>27.971188475390157</v>
      </c>
      <c r="H113" s="22"/>
    </row>
    <row r="114" spans="1:9" x14ac:dyDescent="0.25">
      <c r="A114" s="9">
        <v>45611</v>
      </c>
      <c r="B114" s="5">
        <v>643</v>
      </c>
      <c r="C114" s="12">
        <v>174</v>
      </c>
      <c r="D114" s="11">
        <v>27.06</v>
      </c>
      <c r="E114" s="11">
        <v>27.06</v>
      </c>
      <c r="F114" s="11">
        <f t="shared" si="2"/>
        <v>27.060653188180407</v>
      </c>
      <c r="G114" s="11">
        <f t="shared" si="3"/>
        <v>27.060653188180407</v>
      </c>
      <c r="H114" s="22"/>
      <c r="I114" t="s">
        <v>16</v>
      </c>
    </row>
    <row r="115" spans="1:9" x14ac:dyDescent="0.25">
      <c r="A115" s="9">
        <v>45609</v>
      </c>
      <c r="B115" s="5">
        <v>826</v>
      </c>
      <c r="C115" s="12">
        <v>232</v>
      </c>
      <c r="D115" s="11">
        <v>28.09</v>
      </c>
      <c r="E115" s="11">
        <v>28.09</v>
      </c>
      <c r="F115" s="11">
        <f t="shared" si="2"/>
        <v>28.087167070217916</v>
      </c>
      <c r="G115" s="11">
        <f t="shared" si="3"/>
        <v>28.087167070217916</v>
      </c>
      <c r="H115" s="22"/>
      <c r="I115" s="2">
        <f>SUM(B111:B117)</f>
        <v>5892</v>
      </c>
    </row>
    <row r="116" spans="1:9" x14ac:dyDescent="0.25">
      <c r="A116" s="9">
        <v>45604</v>
      </c>
      <c r="B116" s="5">
        <v>753</v>
      </c>
      <c r="C116" s="12">
        <v>203</v>
      </c>
      <c r="D116" s="11">
        <v>26.96</v>
      </c>
      <c r="E116" s="11">
        <v>26.96</v>
      </c>
      <c r="F116" s="11">
        <f t="shared" si="2"/>
        <v>26.958831341301458</v>
      </c>
      <c r="G116" s="11">
        <f t="shared" si="3"/>
        <v>26.958831341301458</v>
      </c>
      <c r="H116" s="22"/>
    </row>
    <row r="117" spans="1:9" x14ac:dyDescent="0.25">
      <c r="A117" s="9">
        <v>45602</v>
      </c>
      <c r="B117" s="5">
        <v>718</v>
      </c>
      <c r="C117" s="12">
        <v>189</v>
      </c>
      <c r="D117" s="11">
        <v>26.32</v>
      </c>
      <c r="E117" s="11">
        <v>26.32</v>
      </c>
      <c r="F117" s="11">
        <f t="shared" si="2"/>
        <v>26.323119777158777</v>
      </c>
      <c r="G117" s="11">
        <f t="shared" si="3"/>
        <v>26.323119777158777</v>
      </c>
      <c r="H117" s="22"/>
    </row>
    <row r="118" spans="1:9" x14ac:dyDescent="0.25">
      <c r="A118" s="9">
        <v>45595</v>
      </c>
      <c r="B118" s="5">
        <v>728</v>
      </c>
      <c r="C118" s="12">
        <v>183</v>
      </c>
      <c r="D118" s="11">
        <v>25.14</v>
      </c>
      <c r="E118" s="11">
        <v>25.14</v>
      </c>
      <c r="F118" s="11">
        <f t="shared" si="2"/>
        <v>25.137362637362635</v>
      </c>
      <c r="G118" s="11">
        <f t="shared" si="3"/>
        <v>25.137362637362635</v>
      </c>
    </row>
    <row r="119" spans="1:9" x14ac:dyDescent="0.25">
      <c r="A119" s="9">
        <v>45590</v>
      </c>
      <c r="B119" s="5">
        <v>486</v>
      </c>
      <c r="C119" s="12">
        <v>129</v>
      </c>
      <c r="D119" s="11">
        <v>26.54</v>
      </c>
      <c r="E119" s="11">
        <v>26.54</v>
      </c>
      <c r="F119" s="11">
        <f t="shared" si="2"/>
        <v>26.543209876543212</v>
      </c>
      <c r="G119" s="11">
        <f t="shared" si="3"/>
        <v>26.543209876543212</v>
      </c>
    </row>
    <row r="120" spans="1:9" x14ac:dyDescent="0.25">
      <c r="A120" s="9">
        <v>45588</v>
      </c>
      <c r="B120" s="5">
        <v>735</v>
      </c>
      <c r="C120" s="12">
        <v>197</v>
      </c>
      <c r="D120" s="11">
        <v>26.8</v>
      </c>
      <c r="E120" s="11">
        <v>26.8</v>
      </c>
      <c r="F120" s="11">
        <f t="shared" si="2"/>
        <v>26.802721088435373</v>
      </c>
      <c r="G120" s="11">
        <f t="shared" si="3"/>
        <v>26.802721088435373</v>
      </c>
    </row>
    <row r="121" spans="1:9" x14ac:dyDescent="0.25">
      <c r="A121" s="9">
        <v>45583</v>
      </c>
      <c r="B121" s="5">
        <v>486</v>
      </c>
      <c r="C121" s="12">
        <v>133</v>
      </c>
      <c r="D121" s="11">
        <v>27.37</v>
      </c>
      <c r="E121" s="11">
        <v>27.37</v>
      </c>
      <c r="F121" s="11">
        <f t="shared" si="2"/>
        <v>27.36625514403292</v>
      </c>
      <c r="G121" s="11">
        <f t="shared" si="3"/>
        <v>27.36625514403292</v>
      </c>
    </row>
    <row r="122" spans="1:9" x14ac:dyDescent="0.25">
      <c r="A122" s="9">
        <v>45581</v>
      </c>
      <c r="B122" s="5">
        <v>739</v>
      </c>
      <c r="C122" s="12">
        <v>191</v>
      </c>
      <c r="D122" s="11">
        <v>25.85</v>
      </c>
      <c r="E122" s="11">
        <v>25.85</v>
      </c>
      <c r="F122" s="11">
        <f t="shared" si="2"/>
        <v>25.845737483085252</v>
      </c>
      <c r="G122" s="11">
        <f t="shared" si="3"/>
        <v>25.845737483085252</v>
      </c>
    </row>
    <row r="123" spans="1:9" x14ac:dyDescent="0.25">
      <c r="A123" s="9">
        <v>45576</v>
      </c>
      <c r="B123" s="5">
        <v>488</v>
      </c>
      <c r="C123" s="12">
        <v>130</v>
      </c>
      <c r="D123" s="11">
        <v>26.64</v>
      </c>
      <c r="E123" s="11">
        <v>26.64</v>
      </c>
      <c r="F123" s="11">
        <f t="shared" si="2"/>
        <v>26.639344262295083</v>
      </c>
      <c r="G123" s="11">
        <f t="shared" si="3"/>
        <v>26.639344262295083</v>
      </c>
    </row>
    <row r="124" spans="1:9" x14ac:dyDescent="0.25">
      <c r="A124" s="9">
        <v>45574</v>
      </c>
      <c r="B124" s="5">
        <v>737</v>
      </c>
      <c r="C124" s="12">
        <v>198</v>
      </c>
      <c r="D124" s="11">
        <v>26.87</v>
      </c>
      <c r="E124" s="11">
        <v>26.87</v>
      </c>
      <c r="F124" s="11">
        <f t="shared" si="2"/>
        <v>26.865671641791046</v>
      </c>
      <c r="G124" s="11">
        <f t="shared" si="3"/>
        <v>26.865671641791046</v>
      </c>
    </row>
    <row r="125" spans="1:9" x14ac:dyDescent="0.25">
      <c r="A125" s="9">
        <v>45569</v>
      </c>
      <c r="B125" s="5">
        <v>727</v>
      </c>
      <c r="C125" s="12">
        <v>201</v>
      </c>
      <c r="D125" s="11">
        <v>27.65</v>
      </c>
      <c r="E125" s="11">
        <v>27.65</v>
      </c>
      <c r="F125" s="11">
        <f t="shared" si="2"/>
        <v>27.64786795048143</v>
      </c>
      <c r="G125" s="11">
        <f t="shared" si="3"/>
        <v>27.64786795048143</v>
      </c>
    </row>
    <row r="126" spans="1:9" x14ac:dyDescent="0.25">
      <c r="A126" s="9">
        <v>45566</v>
      </c>
      <c r="B126" s="5">
        <v>866</v>
      </c>
      <c r="C126" s="12">
        <v>210</v>
      </c>
      <c r="D126" s="11">
        <v>24.25</v>
      </c>
      <c r="E126" s="11">
        <v>24.25</v>
      </c>
      <c r="F126" s="11">
        <f t="shared" si="2"/>
        <v>24.249422632794456</v>
      </c>
      <c r="G126" s="11">
        <f t="shared" si="3"/>
        <v>24.249422632794456</v>
      </c>
    </row>
    <row r="127" spans="1:9" x14ac:dyDescent="0.25">
      <c r="A127" s="9">
        <v>45562</v>
      </c>
      <c r="B127" s="5">
        <v>980</v>
      </c>
      <c r="C127" s="12">
        <v>268</v>
      </c>
      <c r="D127" s="11">
        <v>27.35</v>
      </c>
      <c r="E127" s="11">
        <v>27.35</v>
      </c>
      <c r="F127" s="11">
        <f t="shared" si="2"/>
        <v>27.346938775510203</v>
      </c>
      <c r="G127" s="11">
        <f t="shared" si="3"/>
        <v>27.346938775510203</v>
      </c>
    </row>
    <row r="128" spans="1:9" x14ac:dyDescent="0.25">
      <c r="A128" s="9">
        <v>45558</v>
      </c>
      <c r="B128" s="5">
        <v>861</v>
      </c>
      <c r="C128" s="12">
        <v>224</v>
      </c>
      <c r="D128" s="11">
        <v>26.02</v>
      </c>
      <c r="E128" s="11">
        <v>26.02</v>
      </c>
      <c r="F128" s="11">
        <f t="shared" si="2"/>
        <v>26.016260162601629</v>
      </c>
      <c r="G128" s="11">
        <f t="shared" si="3"/>
        <v>26.016260162601629</v>
      </c>
    </row>
    <row r="129" spans="1:7" x14ac:dyDescent="0.25">
      <c r="A129" s="9">
        <v>45554</v>
      </c>
      <c r="B129" s="5">
        <v>784</v>
      </c>
      <c r="C129" s="12">
        <v>216</v>
      </c>
      <c r="D129" s="11">
        <v>27.55</v>
      </c>
      <c r="E129" s="11">
        <v>27.55</v>
      </c>
      <c r="F129" s="11">
        <f t="shared" si="2"/>
        <v>27.551020408163261</v>
      </c>
      <c r="G129" s="11">
        <f t="shared" si="3"/>
        <v>27.551020408163261</v>
      </c>
    </row>
    <row r="130" spans="1:7" x14ac:dyDescent="0.25">
      <c r="A130" s="9">
        <v>45551</v>
      </c>
      <c r="B130" s="5">
        <v>726</v>
      </c>
      <c r="C130" s="12">
        <v>201</v>
      </c>
      <c r="D130" s="11">
        <v>27.69</v>
      </c>
      <c r="E130" s="11">
        <v>27.69</v>
      </c>
      <c r="F130" s="11">
        <f t="shared" si="2"/>
        <v>27.685950413223143</v>
      </c>
      <c r="G130" s="11">
        <f t="shared" si="3"/>
        <v>27.685950413223143</v>
      </c>
    </row>
    <row r="131" spans="1:7" x14ac:dyDescent="0.25">
      <c r="A131" s="9">
        <v>45546</v>
      </c>
      <c r="B131" s="5">
        <v>729</v>
      </c>
      <c r="C131" s="12">
        <v>198</v>
      </c>
      <c r="D131" s="11">
        <v>27.16</v>
      </c>
      <c r="E131" s="11">
        <v>27.16</v>
      </c>
      <c r="F131" s="11">
        <f t="shared" ref="F131:F194" si="4">C131/B131*100</f>
        <v>27.160493827160494</v>
      </c>
      <c r="G131" s="11">
        <f t="shared" ref="G131:G194" si="5">C131/B131*100</f>
        <v>27.160493827160494</v>
      </c>
    </row>
    <row r="132" spans="1:7" x14ac:dyDescent="0.25">
      <c r="A132" s="9">
        <v>45541</v>
      </c>
      <c r="B132" s="5">
        <v>723</v>
      </c>
      <c r="C132" s="12">
        <v>205</v>
      </c>
      <c r="D132" s="11">
        <v>28.35</v>
      </c>
      <c r="E132" s="11">
        <v>28.35</v>
      </c>
      <c r="F132" s="11">
        <f t="shared" si="4"/>
        <v>28.354080221300137</v>
      </c>
      <c r="G132" s="11">
        <f t="shared" si="5"/>
        <v>28.354080221300137</v>
      </c>
    </row>
    <row r="133" spans="1:7" x14ac:dyDescent="0.25">
      <c r="A133" s="9">
        <v>45538</v>
      </c>
      <c r="B133" s="5">
        <v>847</v>
      </c>
      <c r="C133" s="12">
        <v>221</v>
      </c>
      <c r="D133" s="11">
        <v>26.09</v>
      </c>
      <c r="E133" s="11">
        <v>26.09</v>
      </c>
      <c r="F133" s="11">
        <f t="shared" si="4"/>
        <v>26.092089728453367</v>
      </c>
      <c r="G133" s="11">
        <f t="shared" si="5"/>
        <v>26.092089728453367</v>
      </c>
    </row>
    <row r="134" spans="1:7" x14ac:dyDescent="0.25">
      <c r="A134" s="9">
        <v>45532</v>
      </c>
      <c r="B134" s="5">
        <v>592</v>
      </c>
      <c r="C134" s="12">
        <v>146</v>
      </c>
      <c r="D134" s="11">
        <v>24.66</v>
      </c>
      <c r="E134" s="11">
        <v>24.66</v>
      </c>
      <c r="F134" s="11">
        <f t="shared" si="4"/>
        <v>24.662162162162161</v>
      </c>
      <c r="G134" s="11">
        <f t="shared" si="5"/>
        <v>24.662162162162161</v>
      </c>
    </row>
    <row r="135" spans="1:7" x14ac:dyDescent="0.25">
      <c r="A135" s="9">
        <v>45527</v>
      </c>
      <c r="B135" s="5">
        <v>826</v>
      </c>
      <c r="C135" s="12">
        <v>190</v>
      </c>
      <c r="D135" s="11">
        <v>23</v>
      </c>
      <c r="E135" s="11">
        <v>23</v>
      </c>
      <c r="F135" s="11">
        <f t="shared" si="4"/>
        <v>23.002421307506054</v>
      </c>
      <c r="G135" s="11">
        <f t="shared" si="5"/>
        <v>23.002421307506054</v>
      </c>
    </row>
    <row r="136" spans="1:7" x14ac:dyDescent="0.25">
      <c r="A136" s="9">
        <v>45524</v>
      </c>
      <c r="B136" s="5">
        <v>2888</v>
      </c>
      <c r="C136" s="12">
        <v>742</v>
      </c>
      <c r="D136" s="11">
        <v>25.69</v>
      </c>
      <c r="E136" s="11">
        <v>25.69</v>
      </c>
      <c r="F136" s="11">
        <f t="shared" si="4"/>
        <v>25.692520775623269</v>
      </c>
      <c r="G136" s="11">
        <f t="shared" si="5"/>
        <v>25.692520775623269</v>
      </c>
    </row>
    <row r="137" spans="1:7" x14ac:dyDescent="0.25">
      <c r="A137" s="9">
        <v>45505</v>
      </c>
      <c r="B137" s="5">
        <v>799</v>
      </c>
      <c r="C137" s="12">
        <v>192</v>
      </c>
      <c r="D137" s="11">
        <v>24.03</v>
      </c>
      <c r="E137" s="11">
        <v>24.03</v>
      </c>
      <c r="F137" s="11">
        <f t="shared" si="4"/>
        <v>24.030037546933666</v>
      </c>
      <c r="G137" s="11">
        <f t="shared" si="5"/>
        <v>24.030037546933666</v>
      </c>
    </row>
    <row r="138" spans="1:7" x14ac:dyDescent="0.25">
      <c r="A138" s="9">
        <v>45499</v>
      </c>
      <c r="B138" s="5">
        <v>829</v>
      </c>
      <c r="C138" s="12">
        <v>192</v>
      </c>
      <c r="D138" s="11">
        <v>23.16</v>
      </c>
      <c r="E138" s="11">
        <v>23.16</v>
      </c>
      <c r="F138" s="11">
        <f t="shared" si="4"/>
        <v>23.160434258142342</v>
      </c>
      <c r="G138" s="11">
        <f t="shared" si="5"/>
        <v>23.160434258142342</v>
      </c>
    </row>
    <row r="139" spans="1:7" x14ac:dyDescent="0.25">
      <c r="A139" s="9">
        <v>45496</v>
      </c>
      <c r="B139" s="5">
        <v>891</v>
      </c>
      <c r="C139" s="12">
        <v>220</v>
      </c>
      <c r="D139" s="11">
        <v>24.69</v>
      </c>
      <c r="E139" s="11">
        <v>24.69</v>
      </c>
      <c r="F139" s="11">
        <f t="shared" si="4"/>
        <v>24.691358024691358</v>
      </c>
      <c r="G139" s="11">
        <f t="shared" si="5"/>
        <v>24.691358024691358</v>
      </c>
    </row>
    <row r="140" spans="1:7" x14ac:dyDescent="0.25">
      <c r="A140" s="9">
        <v>45491</v>
      </c>
      <c r="B140" s="5">
        <v>919</v>
      </c>
      <c r="C140" s="12">
        <v>236</v>
      </c>
      <c r="D140" s="11">
        <v>25.68</v>
      </c>
      <c r="E140" s="11">
        <v>25.68</v>
      </c>
      <c r="F140" s="11">
        <f t="shared" si="4"/>
        <v>25.680087051142547</v>
      </c>
      <c r="G140" s="11">
        <f t="shared" si="5"/>
        <v>25.680087051142547</v>
      </c>
    </row>
    <row r="141" spans="1:7" x14ac:dyDescent="0.25">
      <c r="A141" s="9">
        <v>45484</v>
      </c>
      <c r="B141" s="5">
        <v>964</v>
      </c>
      <c r="C141" s="12">
        <v>233</v>
      </c>
      <c r="D141" s="11">
        <v>24.17</v>
      </c>
      <c r="E141" s="11">
        <v>24.17</v>
      </c>
      <c r="F141" s="11">
        <f t="shared" si="4"/>
        <v>24.1701244813278</v>
      </c>
      <c r="G141" s="11">
        <f t="shared" si="5"/>
        <v>24.1701244813278</v>
      </c>
    </row>
    <row r="142" spans="1:7" x14ac:dyDescent="0.25">
      <c r="A142" s="9">
        <v>45478</v>
      </c>
      <c r="B142" s="5">
        <v>547</v>
      </c>
      <c r="C142" s="12">
        <v>125</v>
      </c>
      <c r="D142" s="11">
        <v>22.85</v>
      </c>
      <c r="E142" s="11">
        <v>22.85</v>
      </c>
      <c r="F142" s="11">
        <f t="shared" si="4"/>
        <v>22.851919561243143</v>
      </c>
      <c r="G142" s="11">
        <f t="shared" si="5"/>
        <v>22.851919561243143</v>
      </c>
    </row>
    <row r="143" spans="1:7" x14ac:dyDescent="0.25">
      <c r="A143" s="9">
        <v>45476</v>
      </c>
      <c r="B143" s="5">
        <v>1375</v>
      </c>
      <c r="C143" s="12">
        <v>349</v>
      </c>
      <c r="D143" s="11">
        <v>25.38</v>
      </c>
      <c r="E143" s="11">
        <v>25.38</v>
      </c>
      <c r="F143" s="11">
        <f t="shared" si="4"/>
        <v>25.381818181818183</v>
      </c>
      <c r="G143" s="11">
        <f t="shared" si="5"/>
        <v>25.381818181818183</v>
      </c>
    </row>
    <row r="144" spans="1:7" x14ac:dyDescent="0.25">
      <c r="A144" s="9">
        <v>45467</v>
      </c>
      <c r="B144" s="5">
        <v>429</v>
      </c>
      <c r="C144" s="12">
        <v>97</v>
      </c>
      <c r="D144" s="11">
        <v>22.61</v>
      </c>
      <c r="E144" s="11">
        <v>22.61</v>
      </c>
      <c r="F144" s="11">
        <f t="shared" si="4"/>
        <v>22.610722610722611</v>
      </c>
      <c r="G144" s="11">
        <f t="shared" si="5"/>
        <v>22.610722610722611</v>
      </c>
    </row>
    <row r="145" spans="1:7" x14ac:dyDescent="0.25">
      <c r="A145" s="9">
        <v>45464</v>
      </c>
      <c r="B145" s="5">
        <v>765</v>
      </c>
      <c r="C145" s="12">
        <v>218</v>
      </c>
      <c r="D145" s="11">
        <v>28.5</v>
      </c>
      <c r="E145" s="11">
        <v>28.5</v>
      </c>
      <c r="F145" s="11">
        <f t="shared" si="4"/>
        <v>28.496732026143789</v>
      </c>
      <c r="G145" s="11">
        <f t="shared" si="5"/>
        <v>28.496732026143789</v>
      </c>
    </row>
    <row r="146" spans="1:7" x14ac:dyDescent="0.25">
      <c r="A146" s="9">
        <v>45461</v>
      </c>
      <c r="B146" s="5">
        <v>880</v>
      </c>
      <c r="C146" s="12">
        <v>223</v>
      </c>
      <c r="D146" s="11">
        <v>25.34</v>
      </c>
      <c r="E146" s="11">
        <v>25.34</v>
      </c>
      <c r="F146" s="11">
        <f t="shared" si="4"/>
        <v>25.340909090909093</v>
      </c>
      <c r="G146" s="11">
        <f t="shared" si="5"/>
        <v>25.340909090909093</v>
      </c>
    </row>
    <row r="147" spans="1:7" x14ac:dyDescent="0.25">
      <c r="A147" s="9">
        <v>45457</v>
      </c>
      <c r="B147" s="5">
        <v>503</v>
      </c>
      <c r="C147" s="12">
        <v>128</v>
      </c>
      <c r="D147" s="11">
        <v>25.45</v>
      </c>
      <c r="E147" s="11">
        <v>25.45</v>
      </c>
      <c r="F147" s="11">
        <f t="shared" si="4"/>
        <v>25.44731610337972</v>
      </c>
      <c r="G147" s="11">
        <f t="shared" si="5"/>
        <v>25.44731610337972</v>
      </c>
    </row>
    <row r="148" spans="1:7" x14ac:dyDescent="0.25">
      <c r="A148" s="9">
        <v>45455</v>
      </c>
      <c r="B148" s="5">
        <v>573</v>
      </c>
      <c r="C148" s="12">
        <v>153</v>
      </c>
      <c r="D148" s="11">
        <v>26.7</v>
      </c>
      <c r="E148" s="11">
        <v>26.7</v>
      </c>
      <c r="F148" s="11">
        <f t="shared" si="4"/>
        <v>26.701570680628272</v>
      </c>
      <c r="G148" s="11">
        <f t="shared" si="5"/>
        <v>26.701570680628272</v>
      </c>
    </row>
    <row r="149" spans="1:7" x14ac:dyDescent="0.25">
      <c r="A149" s="9">
        <v>45450</v>
      </c>
      <c r="B149" s="5">
        <v>707</v>
      </c>
      <c r="C149" s="12">
        <v>192</v>
      </c>
      <c r="D149" s="11">
        <v>27.16</v>
      </c>
      <c r="E149" s="11">
        <v>27.16</v>
      </c>
      <c r="F149" s="11">
        <f t="shared" si="4"/>
        <v>27.157001414427157</v>
      </c>
      <c r="G149" s="11">
        <f t="shared" si="5"/>
        <v>27.157001414427157</v>
      </c>
    </row>
    <row r="150" spans="1:7" x14ac:dyDescent="0.25">
      <c r="A150" s="9">
        <v>45447</v>
      </c>
      <c r="B150" s="5">
        <v>851</v>
      </c>
      <c r="C150" s="12">
        <v>214</v>
      </c>
      <c r="D150" s="11">
        <v>25.15</v>
      </c>
      <c r="E150" s="11">
        <v>25.15</v>
      </c>
      <c r="F150" s="11">
        <f t="shared" si="4"/>
        <v>25.146886016451237</v>
      </c>
      <c r="G150" s="11">
        <f t="shared" si="5"/>
        <v>25.146886016451237</v>
      </c>
    </row>
    <row r="151" spans="1:7" x14ac:dyDescent="0.25">
      <c r="A151" s="9">
        <v>45443</v>
      </c>
      <c r="B151" s="5">
        <v>779</v>
      </c>
      <c r="C151" s="12">
        <v>201</v>
      </c>
      <c r="D151" s="11">
        <v>25.8</v>
      </c>
      <c r="E151" s="11">
        <v>25.8</v>
      </c>
      <c r="F151" s="11">
        <f t="shared" si="4"/>
        <v>25.802310654685495</v>
      </c>
      <c r="G151" s="11">
        <f t="shared" si="5"/>
        <v>25.802310654685495</v>
      </c>
    </row>
    <row r="152" spans="1:7" x14ac:dyDescent="0.25">
      <c r="A152" s="9">
        <v>45440</v>
      </c>
      <c r="B152" s="5">
        <v>708</v>
      </c>
      <c r="C152" s="12">
        <v>179</v>
      </c>
      <c r="D152" s="11">
        <v>25.28</v>
      </c>
      <c r="E152" s="11">
        <v>25.28</v>
      </c>
      <c r="F152" s="11">
        <f t="shared" si="4"/>
        <v>25.282485875706211</v>
      </c>
      <c r="G152" s="11">
        <f t="shared" si="5"/>
        <v>25.282485875706211</v>
      </c>
    </row>
    <row r="153" spans="1:7" x14ac:dyDescent="0.25">
      <c r="A153" s="9">
        <v>45436</v>
      </c>
      <c r="B153" s="5">
        <v>776</v>
      </c>
      <c r="C153" s="12">
        <v>210</v>
      </c>
      <c r="D153" s="11">
        <v>27.06</v>
      </c>
      <c r="E153" s="11">
        <v>27.06</v>
      </c>
      <c r="F153" s="11">
        <f t="shared" si="4"/>
        <v>27.061855670103093</v>
      </c>
      <c r="G153" s="11">
        <f t="shared" si="5"/>
        <v>27.061855670103093</v>
      </c>
    </row>
    <row r="154" spans="1:7" x14ac:dyDescent="0.25">
      <c r="A154" s="9">
        <v>45433</v>
      </c>
      <c r="B154" s="5">
        <v>872</v>
      </c>
      <c r="C154" s="12">
        <v>217</v>
      </c>
      <c r="D154" s="11">
        <v>24.89</v>
      </c>
      <c r="E154" s="11">
        <v>24.89</v>
      </c>
      <c r="F154" s="11">
        <f t="shared" si="4"/>
        <v>24.88532110091743</v>
      </c>
      <c r="G154" s="11">
        <f t="shared" si="5"/>
        <v>24.88532110091743</v>
      </c>
    </row>
    <row r="155" spans="1:7" x14ac:dyDescent="0.25">
      <c r="A155" s="9">
        <v>45429</v>
      </c>
      <c r="B155" s="5">
        <v>751</v>
      </c>
      <c r="C155" s="12">
        <v>194</v>
      </c>
      <c r="D155" s="11">
        <v>25.83</v>
      </c>
      <c r="E155" s="11">
        <v>25.83</v>
      </c>
      <c r="F155" s="11">
        <f t="shared" si="4"/>
        <v>25.832223701731028</v>
      </c>
      <c r="G155" s="11">
        <f t="shared" si="5"/>
        <v>25.832223701731028</v>
      </c>
    </row>
    <row r="156" spans="1:7" x14ac:dyDescent="0.25">
      <c r="A156" s="9">
        <v>45426</v>
      </c>
      <c r="B156" s="5">
        <v>693</v>
      </c>
      <c r="C156" s="12">
        <v>173</v>
      </c>
      <c r="D156" s="11">
        <v>24.96</v>
      </c>
      <c r="E156" s="11">
        <v>24.96</v>
      </c>
      <c r="F156" s="11">
        <f t="shared" si="4"/>
        <v>24.963924963924963</v>
      </c>
      <c r="G156" s="11">
        <f t="shared" si="5"/>
        <v>24.963924963924963</v>
      </c>
    </row>
    <row r="157" spans="1:7" x14ac:dyDescent="0.25">
      <c r="A157" s="9">
        <v>45422</v>
      </c>
      <c r="B157" s="5">
        <v>640</v>
      </c>
      <c r="C157" s="12">
        <v>173</v>
      </c>
      <c r="D157" s="11">
        <v>27.03</v>
      </c>
      <c r="E157" s="11">
        <v>27.03</v>
      </c>
      <c r="F157" s="11">
        <f t="shared" si="4"/>
        <v>27.03125</v>
      </c>
      <c r="G157" s="11">
        <f t="shared" si="5"/>
        <v>27.03125</v>
      </c>
    </row>
    <row r="158" spans="1:7" x14ac:dyDescent="0.25">
      <c r="A158" s="9">
        <v>45419</v>
      </c>
      <c r="B158" s="5">
        <v>1674</v>
      </c>
      <c r="C158" s="12">
        <v>457</v>
      </c>
      <c r="D158" s="11">
        <v>27.3</v>
      </c>
      <c r="E158" s="11">
        <v>27.3</v>
      </c>
      <c r="F158" s="11">
        <f t="shared" si="4"/>
        <v>27.299880525686977</v>
      </c>
      <c r="G158" s="11">
        <f t="shared" si="5"/>
        <v>27.299880525686977</v>
      </c>
    </row>
    <row r="159" spans="1:7" x14ac:dyDescent="0.25">
      <c r="A159" s="9">
        <v>45411</v>
      </c>
      <c r="B159" s="5">
        <v>686</v>
      </c>
      <c r="C159" s="12">
        <v>172</v>
      </c>
      <c r="D159" s="11">
        <v>25.07</v>
      </c>
      <c r="E159" s="11">
        <v>25.07</v>
      </c>
      <c r="F159" s="11">
        <f t="shared" si="4"/>
        <v>25.072886297376094</v>
      </c>
      <c r="G159" s="11">
        <f t="shared" si="5"/>
        <v>25.072886297376094</v>
      </c>
    </row>
    <row r="160" spans="1:7" x14ac:dyDescent="0.25">
      <c r="A160" s="9">
        <v>45408</v>
      </c>
      <c r="B160" s="5">
        <v>710</v>
      </c>
      <c r="C160" s="12">
        <v>203</v>
      </c>
      <c r="D160" s="11">
        <v>28.59</v>
      </c>
      <c r="E160" s="11">
        <v>28.59</v>
      </c>
      <c r="F160" s="11">
        <f t="shared" si="4"/>
        <v>28.591549295774648</v>
      </c>
      <c r="G160" s="11">
        <f t="shared" si="5"/>
        <v>28.591549295774648</v>
      </c>
    </row>
    <row r="161" spans="1:7" x14ac:dyDescent="0.25">
      <c r="A161" s="9">
        <v>45405</v>
      </c>
      <c r="B161" s="5">
        <v>692</v>
      </c>
      <c r="C161" s="12">
        <v>185</v>
      </c>
      <c r="D161" s="11">
        <v>26.73</v>
      </c>
      <c r="E161" s="11">
        <v>26.73</v>
      </c>
      <c r="F161" s="11">
        <f t="shared" si="4"/>
        <v>26.734104046242773</v>
      </c>
      <c r="G161" s="11">
        <f t="shared" si="5"/>
        <v>26.734104046242773</v>
      </c>
    </row>
    <row r="162" spans="1:7" x14ac:dyDescent="0.25">
      <c r="A162" s="9">
        <v>45401</v>
      </c>
      <c r="B162" s="5">
        <v>453</v>
      </c>
      <c r="C162" s="12">
        <v>123</v>
      </c>
      <c r="D162" s="11">
        <v>27.15</v>
      </c>
      <c r="E162" s="11">
        <v>27.15</v>
      </c>
      <c r="F162" s="11">
        <f t="shared" si="4"/>
        <v>27.152317880794701</v>
      </c>
      <c r="G162" s="11">
        <f t="shared" si="5"/>
        <v>27.152317880794701</v>
      </c>
    </row>
    <row r="163" spans="1:7" x14ac:dyDescent="0.25">
      <c r="A163" s="9">
        <v>45399</v>
      </c>
      <c r="B163" s="5">
        <v>1243</v>
      </c>
      <c r="C163" s="12">
        <v>357</v>
      </c>
      <c r="D163" s="11">
        <v>28.72</v>
      </c>
      <c r="E163" s="11">
        <v>28.72</v>
      </c>
      <c r="F163" s="11">
        <f t="shared" si="4"/>
        <v>28.720836685438456</v>
      </c>
      <c r="G163" s="11">
        <f t="shared" si="5"/>
        <v>28.720836685438456</v>
      </c>
    </row>
    <row r="164" spans="1:7" x14ac:dyDescent="0.25">
      <c r="A164" s="9">
        <v>45394</v>
      </c>
      <c r="B164" s="5">
        <v>660</v>
      </c>
      <c r="C164" s="12">
        <v>188</v>
      </c>
      <c r="D164" s="11">
        <v>28.48</v>
      </c>
      <c r="E164" s="11">
        <v>28.48</v>
      </c>
      <c r="F164" s="11">
        <f t="shared" si="4"/>
        <v>28.484848484848484</v>
      </c>
      <c r="G164" s="11">
        <f t="shared" si="5"/>
        <v>28.484848484848484</v>
      </c>
    </row>
    <row r="165" spans="1:7" x14ac:dyDescent="0.25">
      <c r="A165" s="9">
        <v>45391</v>
      </c>
      <c r="B165" s="5">
        <v>860</v>
      </c>
      <c r="C165" s="12">
        <v>228</v>
      </c>
      <c r="D165" s="11">
        <v>26.51</v>
      </c>
      <c r="E165" s="11">
        <v>26.51</v>
      </c>
      <c r="F165" s="11">
        <f t="shared" si="4"/>
        <v>26.511627906976742</v>
      </c>
      <c r="G165" s="11">
        <f t="shared" si="5"/>
        <v>26.511627906976742</v>
      </c>
    </row>
    <row r="166" spans="1:7" x14ac:dyDescent="0.25">
      <c r="A166" s="9">
        <v>45387</v>
      </c>
      <c r="B166" s="5">
        <v>559</v>
      </c>
      <c r="C166" s="12">
        <v>157</v>
      </c>
      <c r="D166" s="11">
        <v>28.09</v>
      </c>
      <c r="E166" s="11">
        <v>28.09</v>
      </c>
      <c r="F166" s="11">
        <f t="shared" si="4"/>
        <v>28.085867620751344</v>
      </c>
      <c r="G166" s="11">
        <f t="shared" si="5"/>
        <v>28.085867620751344</v>
      </c>
    </row>
    <row r="167" spans="1:7" x14ac:dyDescent="0.25">
      <c r="A167" s="9">
        <v>45385</v>
      </c>
      <c r="B167" s="5">
        <v>673</v>
      </c>
      <c r="C167" s="12">
        <v>184</v>
      </c>
      <c r="D167" s="11">
        <v>27.34</v>
      </c>
      <c r="E167" s="11">
        <v>27.34</v>
      </c>
      <c r="F167" s="11">
        <f t="shared" si="4"/>
        <v>27.340267459138186</v>
      </c>
      <c r="G167" s="11">
        <f t="shared" si="5"/>
        <v>27.340267459138186</v>
      </c>
    </row>
    <row r="168" spans="1:7" x14ac:dyDescent="0.25">
      <c r="A168" s="9">
        <v>45380</v>
      </c>
      <c r="B168" s="5">
        <v>448</v>
      </c>
      <c r="C168" s="12">
        <v>121</v>
      </c>
      <c r="D168" s="11">
        <v>27.01</v>
      </c>
      <c r="E168" s="11">
        <v>27.01</v>
      </c>
      <c r="F168" s="11">
        <f t="shared" si="4"/>
        <v>27.008928571428569</v>
      </c>
      <c r="G168" s="11">
        <f t="shared" si="5"/>
        <v>27.008928571428569</v>
      </c>
    </row>
    <row r="169" spans="1:7" x14ac:dyDescent="0.25">
      <c r="A169" s="9">
        <v>45379</v>
      </c>
      <c r="B169" s="5">
        <v>517</v>
      </c>
      <c r="C169" s="12">
        <v>144</v>
      </c>
      <c r="D169" s="11">
        <v>27.85</v>
      </c>
      <c r="E169" s="11">
        <v>27.85</v>
      </c>
      <c r="F169" s="11">
        <f t="shared" si="4"/>
        <v>27.852998065764023</v>
      </c>
      <c r="G169" s="11">
        <f t="shared" si="5"/>
        <v>27.852998065764023</v>
      </c>
    </row>
    <row r="170" spans="1:7" x14ac:dyDescent="0.25">
      <c r="A170" s="9">
        <v>45377</v>
      </c>
      <c r="B170" s="5">
        <v>714</v>
      </c>
      <c r="C170" s="12">
        <v>194</v>
      </c>
      <c r="D170" s="11">
        <v>27.17</v>
      </c>
      <c r="E170" s="11">
        <v>27.17</v>
      </c>
      <c r="F170" s="11">
        <f t="shared" si="4"/>
        <v>27.170868347338935</v>
      </c>
      <c r="G170" s="11">
        <f t="shared" si="5"/>
        <v>27.170868347338935</v>
      </c>
    </row>
    <row r="171" spans="1:7" x14ac:dyDescent="0.25">
      <c r="A171" s="9">
        <v>45373</v>
      </c>
      <c r="B171" s="5">
        <v>856</v>
      </c>
      <c r="C171" s="12">
        <v>239</v>
      </c>
      <c r="D171" s="11">
        <v>27.92</v>
      </c>
      <c r="E171" s="11">
        <v>27.92</v>
      </c>
      <c r="F171" s="11">
        <f t="shared" si="4"/>
        <v>27.920560747663554</v>
      </c>
      <c r="G171" s="11">
        <f t="shared" si="5"/>
        <v>27.920560747663554</v>
      </c>
    </row>
    <row r="172" spans="1:7" x14ac:dyDescent="0.25">
      <c r="A172" s="9">
        <v>45369</v>
      </c>
      <c r="B172" s="5">
        <v>760</v>
      </c>
      <c r="C172" s="12">
        <v>192</v>
      </c>
      <c r="D172" s="11">
        <v>25.26</v>
      </c>
      <c r="E172" s="11">
        <v>25.26</v>
      </c>
      <c r="F172" s="11">
        <f t="shared" si="4"/>
        <v>25.263157894736842</v>
      </c>
      <c r="G172" s="11">
        <f t="shared" si="5"/>
        <v>25.263157894736842</v>
      </c>
    </row>
    <row r="173" spans="1:7" x14ac:dyDescent="0.25">
      <c r="A173" s="9">
        <v>45366</v>
      </c>
      <c r="B173" s="5">
        <v>514</v>
      </c>
      <c r="C173" s="12">
        <v>137</v>
      </c>
      <c r="D173" s="11">
        <v>26.65</v>
      </c>
      <c r="E173" s="11">
        <v>26.65</v>
      </c>
      <c r="F173" s="11">
        <f t="shared" si="4"/>
        <v>26.653696498054476</v>
      </c>
      <c r="G173" s="11">
        <f t="shared" si="5"/>
        <v>26.653696498054476</v>
      </c>
    </row>
    <row r="174" spans="1:7" x14ac:dyDescent="0.25">
      <c r="A174" s="9">
        <v>45364</v>
      </c>
      <c r="B174" s="5">
        <v>772</v>
      </c>
      <c r="C174" s="12">
        <v>219</v>
      </c>
      <c r="D174" s="11">
        <v>28.37</v>
      </c>
      <c r="E174" s="11">
        <v>28.37</v>
      </c>
      <c r="F174" s="11">
        <f t="shared" si="4"/>
        <v>28.367875647668395</v>
      </c>
      <c r="G174" s="11">
        <f t="shared" si="5"/>
        <v>28.367875647668395</v>
      </c>
    </row>
    <row r="175" spans="1:7" x14ac:dyDescent="0.25">
      <c r="A175" s="9">
        <v>45359</v>
      </c>
      <c r="B175" s="5">
        <v>628</v>
      </c>
      <c r="C175" s="12">
        <v>174</v>
      </c>
      <c r="D175" s="11">
        <v>27.71</v>
      </c>
      <c r="E175" s="11">
        <v>27.71</v>
      </c>
      <c r="F175" s="11">
        <f t="shared" si="4"/>
        <v>27.70700636942675</v>
      </c>
      <c r="G175" s="11">
        <f t="shared" si="5"/>
        <v>27.70700636942675</v>
      </c>
    </row>
    <row r="176" spans="1:7" x14ac:dyDescent="0.25">
      <c r="A176" s="9">
        <v>45356</v>
      </c>
      <c r="B176" s="5">
        <v>801</v>
      </c>
      <c r="C176" s="12">
        <v>230</v>
      </c>
      <c r="D176" s="11">
        <v>28.71</v>
      </c>
      <c r="E176" s="11">
        <v>28.71</v>
      </c>
      <c r="F176" s="11">
        <f t="shared" si="4"/>
        <v>28.714107365792756</v>
      </c>
      <c r="G176" s="11">
        <f t="shared" si="5"/>
        <v>28.714107365792756</v>
      </c>
    </row>
    <row r="177" spans="1:7" x14ac:dyDescent="0.25">
      <c r="A177" s="9">
        <v>45350</v>
      </c>
      <c r="B177" s="5">
        <v>730</v>
      </c>
      <c r="C177" s="12">
        <v>204</v>
      </c>
      <c r="D177" s="11">
        <v>27.95</v>
      </c>
      <c r="E177" s="11">
        <v>27.95</v>
      </c>
      <c r="F177" s="11">
        <f t="shared" si="4"/>
        <v>27.945205479452056</v>
      </c>
      <c r="G177" s="11">
        <f t="shared" si="5"/>
        <v>27.945205479452056</v>
      </c>
    </row>
    <row r="178" spans="1:7" x14ac:dyDescent="0.25">
      <c r="A178" s="9">
        <v>45345</v>
      </c>
      <c r="B178" s="5">
        <v>515</v>
      </c>
      <c r="C178" s="12">
        <v>141</v>
      </c>
      <c r="D178" s="11">
        <v>27.38</v>
      </c>
      <c r="E178" s="11">
        <v>27.38</v>
      </c>
      <c r="F178" s="11">
        <f t="shared" si="4"/>
        <v>27.378640776699033</v>
      </c>
      <c r="G178" s="11">
        <f t="shared" si="5"/>
        <v>27.378640776699033</v>
      </c>
    </row>
    <row r="179" spans="1:7" x14ac:dyDescent="0.25">
      <c r="A179" s="9">
        <v>45343</v>
      </c>
      <c r="B179" s="5">
        <v>500</v>
      </c>
      <c r="C179" s="12">
        <v>147</v>
      </c>
      <c r="D179" s="11">
        <v>29.4</v>
      </c>
      <c r="E179" s="11">
        <v>29.4</v>
      </c>
      <c r="F179" s="11">
        <f t="shared" si="4"/>
        <v>29.4</v>
      </c>
      <c r="G179" s="11">
        <f t="shared" si="5"/>
        <v>29.4</v>
      </c>
    </row>
    <row r="180" spans="1:7" x14ac:dyDescent="0.25">
      <c r="A180" s="9">
        <v>45338</v>
      </c>
      <c r="B180" s="5">
        <v>720</v>
      </c>
      <c r="C180" s="12">
        <v>207</v>
      </c>
      <c r="D180" s="11">
        <v>28.75</v>
      </c>
      <c r="E180" s="11">
        <v>28.75</v>
      </c>
      <c r="F180" s="11">
        <f t="shared" si="4"/>
        <v>28.749999999999996</v>
      </c>
      <c r="G180" s="11">
        <f t="shared" si="5"/>
        <v>28.749999999999996</v>
      </c>
    </row>
    <row r="181" spans="1:7" x14ac:dyDescent="0.25">
      <c r="A181" s="9">
        <v>45335</v>
      </c>
      <c r="B181" s="5">
        <v>873</v>
      </c>
      <c r="C181" s="12">
        <v>223</v>
      </c>
      <c r="D181" s="11">
        <v>25.54</v>
      </c>
      <c r="E181" s="11">
        <v>25.54</v>
      </c>
      <c r="F181" s="11">
        <f t="shared" si="4"/>
        <v>25.544100801832759</v>
      </c>
      <c r="G181" s="11">
        <f t="shared" si="5"/>
        <v>25.544100801832759</v>
      </c>
    </row>
    <row r="182" spans="1:7" x14ac:dyDescent="0.25">
      <c r="A182" s="9">
        <v>45331</v>
      </c>
      <c r="B182" s="5">
        <v>511</v>
      </c>
      <c r="C182" s="12">
        <v>143</v>
      </c>
      <c r="D182" s="11">
        <v>27.98</v>
      </c>
      <c r="E182" s="11">
        <v>27.98</v>
      </c>
      <c r="F182" s="11">
        <f t="shared" si="4"/>
        <v>27.984344422700584</v>
      </c>
      <c r="G182" s="11">
        <f t="shared" si="5"/>
        <v>27.984344422700584</v>
      </c>
    </row>
    <row r="183" spans="1:7" x14ac:dyDescent="0.25">
      <c r="A183" s="9">
        <v>45329</v>
      </c>
      <c r="B183" s="5">
        <v>258</v>
      </c>
      <c r="C183" s="12">
        <v>67</v>
      </c>
      <c r="D183" s="11">
        <v>25.97</v>
      </c>
      <c r="E183" s="11">
        <v>25.97</v>
      </c>
      <c r="F183" s="11">
        <f t="shared" si="4"/>
        <v>25.968992248062015</v>
      </c>
      <c r="G183" s="11">
        <f t="shared" si="5"/>
        <v>25.968992248062015</v>
      </c>
    </row>
    <row r="184" spans="1:7" x14ac:dyDescent="0.25">
      <c r="A184" s="9">
        <v>45328</v>
      </c>
      <c r="B184" s="5">
        <v>687</v>
      </c>
      <c r="C184" s="12">
        <v>184</v>
      </c>
      <c r="D184" s="11">
        <v>26.78</v>
      </c>
      <c r="E184" s="11">
        <v>26.78</v>
      </c>
      <c r="F184" s="11">
        <f t="shared" si="4"/>
        <v>26.78311499272198</v>
      </c>
      <c r="G184" s="11">
        <f t="shared" si="5"/>
        <v>26.78311499272198</v>
      </c>
    </row>
    <row r="185" spans="1:7" x14ac:dyDescent="0.25">
      <c r="A185" s="9">
        <v>45324</v>
      </c>
      <c r="B185" s="5">
        <v>749</v>
      </c>
      <c r="C185" s="12">
        <v>233</v>
      </c>
      <c r="D185" s="11">
        <v>31.11</v>
      </c>
      <c r="E185" s="11">
        <v>31.11</v>
      </c>
      <c r="F185" s="11">
        <f t="shared" si="4"/>
        <v>31.108144192256344</v>
      </c>
      <c r="G185" s="11">
        <f t="shared" si="5"/>
        <v>31.108144192256344</v>
      </c>
    </row>
    <row r="186" spans="1:7" x14ac:dyDescent="0.25">
      <c r="A186" s="9">
        <v>45321</v>
      </c>
      <c r="B186" s="5">
        <v>867</v>
      </c>
      <c r="C186" s="12">
        <v>230</v>
      </c>
      <c r="D186" s="11">
        <v>26.53</v>
      </c>
      <c r="E186" s="11">
        <v>26.53</v>
      </c>
      <c r="F186" s="11">
        <f t="shared" si="4"/>
        <v>26.528258362168394</v>
      </c>
      <c r="G186" s="11">
        <f t="shared" si="5"/>
        <v>26.528258362168394</v>
      </c>
    </row>
    <row r="187" spans="1:7" x14ac:dyDescent="0.25">
      <c r="A187" s="9">
        <v>45317</v>
      </c>
      <c r="B187" s="5">
        <v>257</v>
      </c>
      <c r="C187" s="12">
        <v>77</v>
      </c>
      <c r="D187" s="11">
        <v>29.96</v>
      </c>
      <c r="E187" s="11">
        <v>29.96</v>
      </c>
      <c r="F187" s="11">
        <f t="shared" si="4"/>
        <v>29.961089494163424</v>
      </c>
      <c r="G187" s="11">
        <f t="shared" si="5"/>
        <v>29.961089494163424</v>
      </c>
    </row>
    <row r="188" spans="1:7" x14ac:dyDescent="0.25">
      <c r="A188" s="9">
        <v>45316</v>
      </c>
      <c r="B188" s="5">
        <v>770</v>
      </c>
      <c r="C188" s="12">
        <v>229</v>
      </c>
      <c r="D188" s="11">
        <v>29.74</v>
      </c>
      <c r="E188" s="11">
        <v>29.74</v>
      </c>
      <c r="F188" s="11">
        <f t="shared" si="4"/>
        <v>29.740259740259738</v>
      </c>
      <c r="G188" s="11">
        <f t="shared" si="5"/>
        <v>29.740259740259738</v>
      </c>
    </row>
    <row r="189" spans="1:7" x14ac:dyDescent="0.25">
      <c r="A189" s="9">
        <v>45314</v>
      </c>
      <c r="B189" s="5">
        <v>636</v>
      </c>
      <c r="C189" s="12">
        <v>180</v>
      </c>
      <c r="D189" s="11">
        <v>28.3</v>
      </c>
      <c r="E189" s="11">
        <v>28.3</v>
      </c>
      <c r="F189" s="11">
        <f t="shared" si="4"/>
        <v>28.30188679245283</v>
      </c>
      <c r="G189" s="11">
        <f t="shared" si="5"/>
        <v>28.30188679245283</v>
      </c>
    </row>
    <row r="190" spans="1:7" x14ac:dyDescent="0.25">
      <c r="A190" s="9">
        <v>45310</v>
      </c>
      <c r="B190" s="5">
        <v>511</v>
      </c>
      <c r="C190" s="12">
        <v>148</v>
      </c>
      <c r="D190" s="11">
        <v>28.96</v>
      </c>
      <c r="E190" s="11">
        <v>28.96</v>
      </c>
      <c r="F190" s="11">
        <f t="shared" si="4"/>
        <v>28.962818003913892</v>
      </c>
      <c r="G190" s="11">
        <f t="shared" si="5"/>
        <v>28.962818003913892</v>
      </c>
    </row>
    <row r="191" spans="1:7" x14ac:dyDescent="0.25">
      <c r="A191" s="9">
        <v>45308</v>
      </c>
      <c r="B191" s="5">
        <v>515</v>
      </c>
      <c r="C191" s="12">
        <v>151</v>
      </c>
      <c r="D191" s="11">
        <v>29.32</v>
      </c>
      <c r="E191" s="11">
        <v>29.32</v>
      </c>
      <c r="F191" s="11">
        <f t="shared" si="4"/>
        <v>29.320388349514566</v>
      </c>
      <c r="G191" s="11">
        <f t="shared" si="5"/>
        <v>29.320388349514566</v>
      </c>
    </row>
    <row r="192" spans="1:7" x14ac:dyDescent="0.25">
      <c r="A192" s="9">
        <v>45306</v>
      </c>
      <c r="B192" s="5">
        <v>637</v>
      </c>
      <c r="C192" s="12">
        <v>180</v>
      </c>
      <c r="D192" s="11">
        <v>28.26</v>
      </c>
      <c r="E192" s="11">
        <v>28.26</v>
      </c>
      <c r="F192" s="11">
        <f t="shared" si="4"/>
        <v>28.257456828885402</v>
      </c>
      <c r="G192" s="11">
        <f t="shared" si="5"/>
        <v>28.257456828885402</v>
      </c>
    </row>
    <row r="193" spans="1:7" x14ac:dyDescent="0.25">
      <c r="A193" s="9">
        <v>45303</v>
      </c>
      <c r="B193" s="5">
        <v>764</v>
      </c>
      <c r="C193" s="12">
        <v>228</v>
      </c>
      <c r="D193" s="11">
        <v>29.84</v>
      </c>
      <c r="E193" s="11">
        <v>29.84</v>
      </c>
      <c r="F193" s="11">
        <f t="shared" si="4"/>
        <v>29.842931937172771</v>
      </c>
      <c r="G193" s="11">
        <f t="shared" si="5"/>
        <v>29.842931937172771</v>
      </c>
    </row>
    <row r="194" spans="1:7" x14ac:dyDescent="0.25">
      <c r="A194" s="9">
        <v>45300</v>
      </c>
      <c r="B194" s="5">
        <v>686</v>
      </c>
      <c r="C194" s="12">
        <v>197</v>
      </c>
      <c r="D194" s="11">
        <v>28.72</v>
      </c>
      <c r="E194" s="11">
        <v>28.72</v>
      </c>
      <c r="F194" s="11">
        <f t="shared" si="4"/>
        <v>28.717201166180757</v>
      </c>
      <c r="G194" s="11">
        <f t="shared" si="5"/>
        <v>28.717201166180757</v>
      </c>
    </row>
    <row r="195" spans="1:7" x14ac:dyDescent="0.25">
      <c r="A195" s="9">
        <v>45296</v>
      </c>
      <c r="B195" s="5">
        <v>334</v>
      </c>
      <c r="C195" s="12">
        <v>95</v>
      </c>
      <c r="D195" s="11">
        <v>28.44</v>
      </c>
      <c r="E195" s="11">
        <v>28.44</v>
      </c>
      <c r="F195" s="11">
        <f t="shared" ref="F195:F210" si="6">C195/B195*100</f>
        <v>28.443113772455092</v>
      </c>
      <c r="G195" s="11">
        <f t="shared" ref="G195:G210" si="7">C195/B195*100</f>
        <v>28.443113772455092</v>
      </c>
    </row>
    <row r="196" spans="1:7" x14ac:dyDescent="0.25">
      <c r="A196" s="9">
        <v>45295</v>
      </c>
      <c r="B196" s="5">
        <v>1977</v>
      </c>
      <c r="C196" s="12">
        <v>347</v>
      </c>
      <c r="D196" s="11">
        <v>17.55</v>
      </c>
      <c r="E196" s="11">
        <v>17.55</v>
      </c>
      <c r="F196" s="11">
        <f t="shared" si="6"/>
        <v>17.551846231664136</v>
      </c>
      <c r="G196" s="11">
        <f t="shared" si="7"/>
        <v>17.551846231664136</v>
      </c>
    </row>
    <row r="197" spans="1:7" x14ac:dyDescent="0.25">
      <c r="A197" s="9">
        <v>45282</v>
      </c>
      <c r="B197" s="5">
        <v>501</v>
      </c>
      <c r="C197" s="12">
        <v>145</v>
      </c>
      <c r="D197" s="11">
        <v>28.94</v>
      </c>
      <c r="E197" s="11">
        <v>28.94</v>
      </c>
      <c r="F197" s="11">
        <f t="shared" si="6"/>
        <v>28.942115768463072</v>
      </c>
      <c r="G197" s="11">
        <f t="shared" si="7"/>
        <v>28.942115768463072</v>
      </c>
    </row>
    <row r="198" spans="1:7" x14ac:dyDescent="0.25">
      <c r="A198" s="9">
        <v>45280</v>
      </c>
      <c r="B198" s="5">
        <v>561</v>
      </c>
      <c r="C198" s="12">
        <v>169</v>
      </c>
      <c r="D198" s="11">
        <v>30.12</v>
      </c>
      <c r="E198" s="11">
        <v>30.12</v>
      </c>
      <c r="F198" s="11">
        <f t="shared" si="6"/>
        <v>30.124777183600713</v>
      </c>
      <c r="G198" s="11">
        <f t="shared" si="7"/>
        <v>30.124777183600713</v>
      </c>
    </row>
    <row r="199" spans="1:7" x14ac:dyDescent="0.25">
      <c r="A199" s="9">
        <v>45275</v>
      </c>
      <c r="B199" s="5">
        <v>447</v>
      </c>
      <c r="C199" s="12">
        <v>133</v>
      </c>
      <c r="D199" s="11">
        <v>29.75</v>
      </c>
      <c r="E199" s="11">
        <v>29.75</v>
      </c>
      <c r="F199" s="11">
        <f t="shared" si="6"/>
        <v>29.753914988814316</v>
      </c>
      <c r="G199" s="11">
        <f t="shared" si="7"/>
        <v>29.753914988814316</v>
      </c>
    </row>
    <row r="200" spans="1:7" x14ac:dyDescent="0.25">
      <c r="A200" s="9">
        <v>45273</v>
      </c>
      <c r="B200" s="5">
        <v>717</v>
      </c>
      <c r="C200" s="12">
        <v>214</v>
      </c>
      <c r="D200" s="11">
        <v>29.85</v>
      </c>
      <c r="E200" s="11">
        <v>29.85</v>
      </c>
      <c r="F200" s="11">
        <f t="shared" si="6"/>
        <v>29.846582984658298</v>
      </c>
      <c r="G200" s="11">
        <f t="shared" si="7"/>
        <v>29.846582984658298</v>
      </c>
    </row>
    <row r="201" spans="1:7" x14ac:dyDescent="0.25">
      <c r="A201" s="9">
        <v>45268</v>
      </c>
      <c r="B201" s="5">
        <v>509</v>
      </c>
      <c r="C201" s="12">
        <v>152</v>
      </c>
      <c r="D201" s="11">
        <v>29.86</v>
      </c>
      <c r="E201" s="11">
        <v>29.86</v>
      </c>
      <c r="F201" s="11">
        <f t="shared" si="6"/>
        <v>29.862475442043223</v>
      </c>
      <c r="G201" s="11">
        <f t="shared" si="7"/>
        <v>29.862475442043223</v>
      </c>
    </row>
    <row r="202" spans="1:7" x14ac:dyDescent="0.25">
      <c r="A202" s="9">
        <v>45266</v>
      </c>
      <c r="B202" s="5">
        <v>566</v>
      </c>
      <c r="C202" s="12">
        <v>181</v>
      </c>
      <c r="D202" s="11">
        <v>31.98</v>
      </c>
      <c r="E202" s="11">
        <v>31.98</v>
      </c>
      <c r="F202" s="11">
        <f t="shared" si="6"/>
        <v>31.978798586572438</v>
      </c>
      <c r="G202" s="11">
        <f t="shared" si="7"/>
        <v>31.978798586572438</v>
      </c>
    </row>
    <row r="203" spans="1:7" x14ac:dyDescent="0.25">
      <c r="A203" s="9">
        <v>45261</v>
      </c>
      <c r="B203" s="5">
        <v>551</v>
      </c>
      <c r="C203" s="12">
        <v>161</v>
      </c>
      <c r="D203" s="11">
        <v>29.22</v>
      </c>
      <c r="E203" s="11">
        <v>29.22</v>
      </c>
      <c r="F203" s="11">
        <f t="shared" si="6"/>
        <v>29.219600725952816</v>
      </c>
      <c r="G203" s="11">
        <f t="shared" si="7"/>
        <v>29.219600725952816</v>
      </c>
    </row>
    <row r="204" spans="1:7" x14ac:dyDescent="0.25">
      <c r="A204" s="9">
        <v>45259</v>
      </c>
      <c r="B204" s="5">
        <v>728</v>
      </c>
      <c r="C204" s="12">
        <v>216</v>
      </c>
      <c r="D204" s="11">
        <v>29.67</v>
      </c>
      <c r="E204" s="11">
        <v>29.67</v>
      </c>
      <c r="F204" s="11">
        <f t="shared" si="6"/>
        <v>29.670329670329672</v>
      </c>
      <c r="G204" s="11">
        <f t="shared" si="7"/>
        <v>29.670329670329672</v>
      </c>
    </row>
    <row r="205" spans="1:7" x14ac:dyDescent="0.25">
      <c r="A205" s="9">
        <v>45254</v>
      </c>
      <c r="B205" s="5">
        <v>763</v>
      </c>
      <c r="C205" s="12">
        <v>220</v>
      </c>
      <c r="D205" s="11">
        <v>28.83</v>
      </c>
      <c r="E205" s="11">
        <v>28.83</v>
      </c>
      <c r="F205" s="11">
        <f t="shared" si="6"/>
        <v>28.833551769331585</v>
      </c>
      <c r="G205" s="11">
        <f t="shared" si="7"/>
        <v>28.833551769331585</v>
      </c>
    </row>
    <row r="206" spans="1:7" x14ac:dyDescent="0.25">
      <c r="A206" s="9">
        <v>45251</v>
      </c>
      <c r="B206" s="5">
        <v>682</v>
      </c>
      <c r="C206" s="12">
        <v>195</v>
      </c>
      <c r="D206" s="11">
        <v>28.59</v>
      </c>
      <c r="E206" s="11">
        <v>28.59</v>
      </c>
      <c r="F206" s="11">
        <f t="shared" si="6"/>
        <v>28.592375366568916</v>
      </c>
      <c r="G206" s="11">
        <f t="shared" si="7"/>
        <v>28.592375366568916</v>
      </c>
    </row>
    <row r="207" spans="1:7" x14ac:dyDescent="0.25">
      <c r="A207" s="9">
        <v>45247</v>
      </c>
      <c r="B207" s="5">
        <v>824</v>
      </c>
      <c r="C207" s="12">
        <v>234</v>
      </c>
      <c r="D207" s="11">
        <v>28.4</v>
      </c>
      <c r="E207" s="11">
        <v>28.4</v>
      </c>
      <c r="F207" s="11">
        <f t="shared" si="6"/>
        <v>28.398058252427184</v>
      </c>
      <c r="G207" s="11">
        <f t="shared" si="7"/>
        <v>28.398058252427184</v>
      </c>
    </row>
    <row r="208" spans="1:7" x14ac:dyDescent="0.25">
      <c r="A208" s="9">
        <v>45243</v>
      </c>
      <c r="B208" s="5">
        <v>652</v>
      </c>
      <c r="C208" s="12">
        <v>184</v>
      </c>
      <c r="D208" s="11">
        <v>28.22</v>
      </c>
      <c r="E208" s="11">
        <v>28.22</v>
      </c>
      <c r="F208" s="11">
        <f t="shared" si="6"/>
        <v>28.220858895705518</v>
      </c>
      <c r="G208" s="11">
        <f t="shared" si="7"/>
        <v>28.220858895705518</v>
      </c>
    </row>
    <row r="209" spans="1:7" x14ac:dyDescent="0.25">
      <c r="A209" s="9">
        <v>45239</v>
      </c>
      <c r="B209" s="5">
        <v>793</v>
      </c>
      <c r="C209" s="12">
        <v>222</v>
      </c>
      <c r="D209" s="11">
        <v>27.99</v>
      </c>
      <c r="E209" s="11">
        <v>27.99</v>
      </c>
      <c r="F209" s="11">
        <f t="shared" si="6"/>
        <v>27.994955863808325</v>
      </c>
      <c r="G209" s="11">
        <f t="shared" si="7"/>
        <v>27.994955863808325</v>
      </c>
    </row>
    <row r="210" spans="1:7" x14ac:dyDescent="0.25">
      <c r="A210" s="9">
        <v>45233</v>
      </c>
      <c r="B210" s="5">
        <v>707</v>
      </c>
      <c r="C210" s="12">
        <v>192</v>
      </c>
      <c r="D210" s="11">
        <v>27.16</v>
      </c>
      <c r="E210" s="11">
        <v>27.16</v>
      </c>
      <c r="F210" s="11">
        <f t="shared" si="6"/>
        <v>27.157001414427157</v>
      </c>
      <c r="G210" s="11">
        <f t="shared" si="7"/>
        <v>27.157001414427157</v>
      </c>
    </row>
    <row r="211" spans="1:7" x14ac:dyDescent="0.25">
      <c r="A211" s="8"/>
    </row>
    <row r="212" spans="1:7" x14ac:dyDescent="0.25">
      <c r="A212" s="18" t="s">
        <v>28</v>
      </c>
      <c r="B212" s="18"/>
      <c r="D212" s="18" t="s">
        <v>20</v>
      </c>
      <c r="E212" s="18"/>
      <c r="F212" s="18"/>
      <c r="G212" s="18"/>
    </row>
    <row r="213" spans="1:7" x14ac:dyDescent="0.25">
      <c r="A213" s="21">
        <f>SUM(B2:B210)</f>
        <v>167637</v>
      </c>
      <c r="B213" s="21"/>
      <c r="D213" s="11">
        <f>AVERAGE(D2:D210)</f>
        <v>26.908803827751182</v>
      </c>
      <c r="E213" s="11">
        <f>AVERAGE(E2:E210)</f>
        <v>27.251456310679593</v>
      </c>
      <c r="F213" s="11">
        <f t="shared" ref="F213:G213" si="8">AVERAGE(F2:F210)</f>
        <v>26.909105237475163</v>
      </c>
      <c r="G213" s="11">
        <f t="shared" si="8"/>
        <v>27.251782751273119</v>
      </c>
    </row>
    <row r="214" spans="1:7" x14ac:dyDescent="0.25">
      <c r="A214" s="18" t="s">
        <v>27</v>
      </c>
      <c r="B214" s="18"/>
      <c r="D214" s="18" t="s">
        <v>21</v>
      </c>
      <c r="E214" s="18"/>
      <c r="F214" s="18"/>
      <c r="G214" s="18"/>
    </row>
    <row r="215" spans="1:7" x14ac:dyDescent="0.25">
      <c r="A215" s="21">
        <f>SUM(B98:B210)+SUM(B82:B96)+SUM(B65:B80)+SUM(B2:B63)</f>
        <v>148227</v>
      </c>
      <c r="B215" s="21"/>
      <c r="D215" s="11">
        <f>MEDIAN(D2:D210)</f>
        <v>27.37</v>
      </c>
      <c r="E215" s="11">
        <f>MEDIAN(E2:E210)</f>
        <v>27.384999999999998</v>
      </c>
      <c r="F215" s="11">
        <f t="shared" ref="F215:G215" si="9">MEDIAN(F2:F210)</f>
        <v>27.36625514403292</v>
      </c>
      <c r="G215" s="11">
        <f t="shared" si="9"/>
        <v>27.38525747878202</v>
      </c>
    </row>
    <row r="216" spans="1:7" x14ac:dyDescent="0.25">
      <c r="D216" s="18" t="s">
        <v>26</v>
      </c>
      <c r="E216" s="18"/>
      <c r="F216" s="18"/>
      <c r="G216" s="18"/>
    </row>
    <row r="217" spans="1:7" x14ac:dyDescent="0.25">
      <c r="D217" s="11">
        <f>MIN(D2:D210)</f>
        <v>1.73</v>
      </c>
      <c r="E217" s="11">
        <f t="shared" ref="E217:G217" si="10">MIN(E2:E210)</f>
        <v>17.55</v>
      </c>
      <c r="F217" s="11">
        <f t="shared" si="10"/>
        <v>1.7329460082139636</v>
      </c>
      <c r="G217" s="11">
        <f t="shared" si="10"/>
        <v>17.551846231664136</v>
      </c>
    </row>
    <row r="218" spans="1:7" x14ac:dyDescent="0.25">
      <c r="D218" s="18" t="s">
        <v>30</v>
      </c>
      <c r="E218" s="18"/>
      <c r="F218" s="18"/>
      <c r="G218" s="18"/>
    </row>
    <row r="219" spans="1:7" x14ac:dyDescent="0.25">
      <c r="D219" s="11">
        <f>MAX(D2:D210)</f>
        <v>33.07</v>
      </c>
      <c r="E219" s="11">
        <f t="shared" ref="E219:G219" si="11">MAX(E2:E210)</f>
        <v>33.07</v>
      </c>
      <c r="F219" s="11">
        <f t="shared" si="11"/>
        <v>33.069620253164558</v>
      </c>
      <c r="G219" s="11">
        <f t="shared" si="11"/>
        <v>33.069620253164558</v>
      </c>
    </row>
  </sheetData>
  <mergeCells count="10">
    <mergeCell ref="D218:G218"/>
    <mergeCell ref="A214:B214"/>
    <mergeCell ref="A215:B215"/>
    <mergeCell ref="A212:B212"/>
    <mergeCell ref="A213:B213"/>
    <mergeCell ref="H39:H44"/>
    <mergeCell ref="H111:H117"/>
    <mergeCell ref="D212:G212"/>
    <mergeCell ref="D214:G214"/>
    <mergeCell ref="D216:G216"/>
  </mergeCells>
  <conditionalFormatting sqref="D2:D2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2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07F8-A6E4-401A-8A38-B349A7B64A34}">
  <dimension ref="A1:E15"/>
  <sheetViews>
    <sheetView workbookViewId="0">
      <selection activeCell="F40" sqref="F40"/>
    </sheetView>
  </sheetViews>
  <sheetFormatPr baseColWidth="10" defaultRowHeight="15" x14ac:dyDescent="0.25"/>
  <cols>
    <col min="2" max="2" width="13" bestFit="1" customWidth="1"/>
    <col min="3" max="3" width="12.7109375" style="1" bestFit="1" customWidth="1"/>
    <col min="4" max="4" width="15.42578125" bestFit="1" customWidth="1"/>
    <col min="5" max="5" width="13" bestFit="1" customWidth="1"/>
  </cols>
  <sheetData>
    <row r="1" spans="1:5" ht="30" customHeight="1" x14ac:dyDescent="0.25">
      <c r="A1" s="3" t="s">
        <v>15</v>
      </c>
      <c r="B1" s="3" t="s">
        <v>16</v>
      </c>
      <c r="C1" s="4" t="s">
        <v>25</v>
      </c>
      <c r="D1" s="4" t="s">
        <v>18</v>
      </c>
      <c r="E1" s="4" t="s">
        <v>19</v>
      </c>
    </row>
    <row r="2" spans="1:5" x14ac:dyDescent="0.25">
      <c r="A2" s="9">
        <v>45687</v>
      </c>
      <c r="B2" s="5">
        <v>761</v>
      </c>
      <c r="C2" s="12">
        <v>212</v>
      </c>
      <c r="D2" s="11">
        <v>27.86</v>
      </c>
      <c r="E2" s="11">
        <f>C2/B2*100</f>
        <v>27.858081471747699</v>
      </c>
    </row>
    <row r="3" spans="1:5" x14ac:dyDescent="0.25">
      <c r="A3" s="9">
        <v>45684</v>
      </c>
      <c r="B3" s="5">
        <v>505</v>
      </c>
      <c r="C3" s="12">
        <v>150</v>
      </c>
      <c r="D3" s="11">
        <v>29.7</v>
      </c>
      <c r="E3" s="11">
        <f t="shared" ref="E3:E10" si="0">C3/B3*100</f>
        <v>29.702970297029701</v>
      </c>
    </row>
    <row r="4" spans="1:5" x14ac:dyDescent="0.25">
      <c r="A4" s="9">
        <v>45680</v>
      </c>
      <c r="B4" s="5">
        <v>510</v>
      </c>
      <c r="C4" s="12">
        <v>140</v>
      </c>
      <c r="D4" s="11">
        <v>27.45</v>
      </c>
      <c r="E4" s="11">
        <f t="shared" si="0"/>
        <v>27.450980392156865</v>
      </c>
    </row>
    <row r="5" spans="1:5" x14ac:dyDescent="0.25">
      <c r="A5" s="9">
        <v>45678</v>
      </c>
      <c r="B5" s="5">
        <v>511</v>
      </c>
      <c r="C5" s="12">
        <v>150</v>
      </c>
      <c r="D5" s="11">
        <v>29.35</v>
      </c>
      <c r="E5" s="11">
        <f t="shared" si="0"/>
        <v>29.354207436399214</v>
      </c>
    </row>
    <row r="6" spans="1:5" x14ac:dyDescent="0.25">
      <c r="A6" s="9">
        <v>45674</v>
      </c>
      <c r="B6" s="5">
        <v>251</v>
      </c>
      <c r="C6" s="12">
        <v>92</v>
      </c>
      <c r="D6" s="11">
        <v>36.65</v>
      </c>
      <c r="E6" s="11">
        <f t="shared" si="0"/>
        <v>36.65338645418327</v>
      </c>
    </row>
    <row r="7" spans="1:5" x14ac:dyDescent="0.25">
      <c r="A7" s="9">
        <v>45673</v>
      </c>
      <c r="B7" s="5">
        <v>514</v>
      </c>
      <c r="C7" s="12">
        <v>125</v>
      </c>
      <c r="D7" s="11">
        <v>24.32</v>
      </c>
      <c r="E7" s="11">
        <f t="shared" si="0"/>
        <v>24.319066147859921</v>
      </c>
    </row>
    <row r="8" spans="1:5" x14ac:dyDescent="0.25">
      <c r="A8" s="9">
        <v>45671</v>
      </c>
      <c r="B8" s="5">
        <v>508</v>
      </c>
      <c r="C8" s="12">
        <v>188</v>
      </c>
      <c r="D8" s="11">
        <v>37.01</v>
      </c>
      <c r="E8" s="11">
        <f>C8/B8*100</f>
        <v>37.00787401574803</v>
      </c>
    </row>
    <row r="9" spans="1:5" x14ac:dyDescent="0.25">
      <c r="A9" s="9">
        <v>45667</v>
      </c>
      <c r="B9" s="5">
        <v>505</v>
      </c>
      <c r="C9" s="12">
        <v>116</v>
      </c>
      <c r="D9" s="11">
        <v>22.97</v>
      </c>
      <c r="E9" s="11">
        <f t="shared" si="0"/>
        <v>22.970297029702973</v>
      </c>
    </row>
    <row r="10" spans="1:5" x14ac:dyDescent="0.25">
      <c r="A10" s="9">
        <v>45665</v>
      </c>
      <c r="B10" s="5">
        <v>688</v>
      </c>
      <c r="C10" s="12">
        <v>196</v>
      </c>
      <c r="D10" s="11">
        <v>28.49</v>
      </c>
      <c r="E10" s="11">
        <f t="shared" si="0"/>
        <v>28.488372093023255</v>
      </c>
    </row>
    <row r="12" spans="1:5" x14ac:dyDescent="0.25">
      <c r="B12" s="3" t="s">
        <v>24</v>
      </c>
      <c r="D12" s="18" t="s">
        <v>20</v>
      </c>
      <c r="E12" s="18"/>
    </row>
    <row r="13" spans="1:5" x14ac:dyDescent="0.25">
      <c r="B13" s="5">
        <f>SUM(B2:B10)</f>
        <v>4753</v>
      </c>
      <c r="D13" s="11">
        <f>AVERAGE(D2:D10)</f>
        <v>29.311111111111114</v>
      </c>
      <c r="E13" s="11">
        <f>AVERAGE(E2:E10)</f>
        <v>29.311692815316771</v>
      </c>
    </row>
    <row r="14" spans="1:5" x14ac:dyDescent="0.25">
      <c r="D14" s="18" t="s">
        <v>21</v>
      </c>
      <c r="E14" s="18"/>
    </row>
    <row r="15" spans="1:5" x14ac:dyDescent="0.25">
      <c r="D15" s="11">
        <f>MEDIAN(D2:D10)</f>
        <v>28.49</v>
      </c>
      <c r="E15" s="11">
        <f>MEDIAN(E2:E10)</f>
        <v>28.488372093023255</v>
      </c>
    </row>
  </sheetData>
  <mergeCells count="2">
    <mergeCell ref="D12:E12"/>
    <mergeCell ref="D14:E14"/>
  </mergeCells>
  <conditionalFormatting sqref="D2:D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Overview</vt:lpstr>
      <vt:lpstr>Citaro 2020</vt:lpstr>
      <vt:lpstr>Citaro 2015</vt:lpstr>
      <vt:lpstr>Crossway 2021</vt:lpstr>
      <vt:lpstr>Crossway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Jeschek</dc:creator>
  <cp:lastModifiedBy>Florian Jeschek</cp:lastModifiedBy>
  <dcterms:created xsi:type="dcterms:W3CDTF">2026-05-29T03:09:26Z</dcterms:created>
  <dcterms:modified xsi:type="dcterms:W3CDTF">2026-06-11T19:03:46Z</dcterms:modified>
</cp:coreProperties>
</file>